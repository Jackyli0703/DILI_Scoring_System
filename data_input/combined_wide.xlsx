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ochenli/Desktop/SRV_004/"/>
    </mc:Choice>
  </mc:AlternateContent>
  <xr:revisionPtr revIDLastSave="0" documentId="13_ncr:1_{B2F20C9E-04E5-BC44-A33F-2EB3AE661C09}" xr6:coauthVersionLast="47" xr6:coauthVersionMax="47" xr10:uidLastSave="{00000000-0000-0000-0000-000000000000}"/>
  <bookViews>
    <workbookView xWindow="27040" yWindow="-10760" windowWidth="38400" windowHeight="199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1" l="1" a="1"/>
  <c r="A50" i="1" s="1"/>
  <c r="A51" i="1" a="1"/>
  <c r="A51" i="1" s="1"/>
  <c r="A52" i="1" a="1"/>
  <c r="A52" i="1" s="1"/>
  <c r="A53" i="1" a="1"/>
  <c r="A53" i="1" s="1"/>
  <c r="A54" i="1" a="1"/>
  <c r="A54" i="1" s="1"/>
  <c r="A55" i="1" a="1"/>
  <c r="A55" i="1" s="1"/>
  <c r="A56" i="1" a="1"/>
  <c r="A56" i="1" s="1"/>
  <c r="A49" i="1" a="1"/>
  <c r="A49" i="1" s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N23" i="1"/>
  <c r="N24" i="1"/>
  <c r="N25" i="1"/>
  <c r="N26" i="1"/>
  <c r="N27" i="1"/>
  <c r="N28" i="1"/>
  <c r="N29" i="1"/>
  <c r="N22" i="1"/>
  <c r="C22" i="1"/>
  <c r="D22" i="1"/>
  <c r="E22" i="1"/>
  <c r="F22" i="1"/>
  <c r="G22" i="1"/>
  <c r="H22" i="1"/>
  <c r="I22" i="1"/>
  <c r="J22" i="1"/>
  <c r="K22" i="1"/>
  <c r="L22" i="1"/>
  <c r="M22" i="1"/>
  <c r="C23" i="1"/>
  <c r="D23" i="1"/>
  <c r="E23" i="1"/>
  <c r="F23" i="1"/>
  <c r="G23" i="1"/>
  <c r="H23" i="1"/>
  <c r="I23" i="1"/>
  <c r="J23" i="1"/>
  <c r="K23" i="1"/>
  <c r="L23" i="1"/>
  <c r="M23" i="1"/>
  <c r="C24" i="1"/>
  <c r="D24" i="1"/>
  <c r="E24" i="1"/>
  <c r="F24" i="1"/>
  <c r="G24" i="1"/>
  <c r="H24" i="1"/>
  <c r="I24" i="1"/>
  <c r="J24" i="1"/>
  <c r="K24" i="1"/>
  <c r="L24" i="1"/>
  <c r="M24" i="1"/>
  <c r="C25" i="1"/>
  <c r="D25" i="1"/>
  <c r="E25" i="1"/>
  <c r="F25" i="1"/>
  <c r="G25" i="1"/>
  <c r="H25" i="1"/>
  <c r="I25" i="1"/>
  <c r="J25" i="1"/>
  <c r="K25" i="1"/>
  <c r="L25" i="1"/>
  <c r="M25" i="1"/>
  <c r="C26" i="1"/>
  <c r="D26" i="1"/>
  <c r="E26" i="1"/>
  <c r="F26" i="1"/>
  <c r="G26" i="1"/>
  <c r="H26" i="1"/>
  <c r="I26" i="1"/>
  <c r="J26" i="1"/>
  <c r="K26" i="1"/>
  <c r="L26" i="1"/>
  <c r="M26" i="1"/>
  <c r="C27" i="1"/>
  <c r="D27" i="1"/>
  <c r="E27" i="1"/>
  <c r="F27" i="1"/>
  <c r="G27" i="1"/>
  <c r="H27" i="1"/>
  <c r="I27" i="1"/>
  <c r="J27" i="1"/>
  <c r="K27" i="1"/>
  <c r="L27" i="1"/>
  <c r="M27" i="1"/>
  <c r="C28" i="1"/>
  <c r="D28" i="1"/>
  <c r="E28" i="1"/>
  <c r="F28" i="1"/>
  <c r="G28" i="1"/>
  <c r="H28" i="1"/>
  <c r="I28" i="1"/>
  <c r="J28" i="1"/>
  <c r="K28" i="1"/>
  <c r="L28" i="1"/>
  <c r="M28" i="1"/>
  <c r="C29" i="1"/>
  <c r="D29" i="1"/>
  <c r="E29" i="1"/>
  <c r="F29" i="1"/>
  <c r="G29" i="1"/>
  <c r="H29" i="1"/>
  <c r="I29" i="1"/>
  <c r="J29" i="1"/>
  <c r="K29" i="1"/>
  <c r="L29" i="1"/>
  <c r="M29" i="1"/>
  <c r="B23" i="1"/>
  <c r="B24" i="1"/>
  <c r="B25" i="1"/>
  <c r="B26" i="1"/>
  <c r="B27" i="1"/>
  <c r="B28" i="1"/>
  <c r="B29" i="1"/>
  <c r="B2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<sst xmlns="http://schemas.openxmlformats.org/spreadsheetml/2006/main" count="331" uniqueCount="80">
  <si>
    <t>Compound</t>
  </si>
  <si>
    <t>ALT_0.01X</t>
  </si>
  <si>
    <t>ALT_0.1X</t>
  </si>
  <si>
    <t>ALT_0.3X</t>
  </si>
  <si>
    <t>ALT_1X</t>
  </si>
  <si>
    <t>ALT_3X</t>
  </si>
  <si>
    <t>ALT_8.2X</t>
  </si>
  <si>
    <t>ALT_10X</t>
  </si>
  <si>
    <t>ALT_15X</t>
  </si>
  <si>
    <t>ALT_30X</t>
  </si>
  <si>
    <t>ALT_100X</t>
  </si>
  <si>
    <t>ALT_250X</t>
  </si>
  <si>
    <t>ALT_300X</t>
  </si>
  <si>
    <t>ALB_DAY11_0.01X</t>
  </si>
  <si>
    <t>ALB_DAY11_0.1X</t>
  </si>
  <si>
    <t>ALB_DAY11_0.3X</t>
  </si>
  <si>
    <t>ALB_DAY11_1X</t>
  </si>
  <si>
    <t>ALB_DAY11_3X</t>
  </si>
  <si>
    <t>ALB_DAY11_10X</t>
  </si>
  <si>
    <t>ALB_DAY11_15X</t>
  </si>
  <si>
    <t>ALB_DAY11_30X</t>
  </si>
  <si>
    <t>ALB_DAY11_100X</t>
  </si>
  <si>
    <t>ALB_DAY11_250X</t>
  </si>
  <si>
    <t>ALB_DAY11_300X</t>
  </si>
  <si>
    <t>ALB_DAY14_0.01X</t>
  </si>
  <si>
    <t>ALB_DAY14_0.1X</t>
  </si>
  <si>
    <t>ALB_DAY14_0.3X</t>
  </si>
  <si>
    <t>ALB_DAY14_1X</t>
  </si>
  <si>
    <t>ALB_DAY14_3X</t>
  </si>
  <si>
    <t>ALB_DAY14_10X</t>
  </si>
  <si>
    <t>ALB_DAY14_15X</t>
  </si>
  <si>
    <t>ALB_DAY14_30X</t>
  </si>
  <si>
    <t>ALB_DAY14_100X</t>
  </si>
  <si>
    <t>ALB_DAY14_250X</t>
  </si>
  <si>
    <t>ALB_DAY14_300X</t>
  </si>
  <si>
    <t>Viability_0.01X</t>
  </si>
  <si>
    <t>Viability_0.1X</t>
  </si>
  <si>
    <t>Viability_0.3X</t>
  </si>
  <si>
    <t>Viability_1X</t>
  </si>
  <si>
    <t>Viability_3X</t>
  </si>
  <si>
    <t>Viability_10X</t>
  </si>
  <si>
    <t>Viability_15X</t>
  </si>
  <si>
    <t>Viability_30X</t>
  </si>
  <si>
    <t>Viability_100X</t>
  </si>
  <si>
    <t>Viability_250X</t>
  </si>
  <si>
    <t>Viability_300X</t>
  </si>
  <si>
    <t>1</t>
  </si>
  <si>
    <t>2</t>
  </si>
  <si>
    <t>3</t>
  </si>
  <si>
    <t>5</t>
  </si>
  <si>
    <t>6</t>
  </si>
  <si>
    <t>7</t>
  </si>
  <si>
    <t>APAP</t>
  </si>
  <si>
    <t>TGZ</t>
  </si>
  <si>
    <t>C1</t>
  </si>
  <si>
    <t>C2</t>
  </si>
  <si>
    <t>C3</t>
  </si>
  <si>
    <t>C4</t>
  </si>
  <si>
    <t>C5</t>
  </si>
  <si>
    <t>C6</t>
  </si>
  <si>
    <t>C7</t>
  </si>
  <si>
    <t>ALT</t>
  </si>
  <si>
    <t>ALB11</t>
  </si>
  <si>
    <t>ALB14</t>
  </si>
  <si>
    <t>Viability</t>
  </si>
  <si>
    <t/>
  </si>
  <si>
    <t>Sum_ALT</t>
  </si>
  <si>
    <t>Sum_Viability</t>
  </si>
  <si>
    <t>Acetaminophen</t>
  </si>
  <si>
    <t>Troglitazone</t>
  </si>
  <si>
    <t>Compound 1</t>
  </si>
  <si>
    <t>Compound 2</t>
  </si>
  <si>
    <t>Compound 3</t>
  </si>
  <si>
    <t>Compound 4</t>
  </si>
  <si>
    <t>Compound 5</t>
  </si>
  <si>
    <t>Compound 6</t>
  </si>
  <si>
    <t>Compound 7</t>
  </si>
  <si>
    <t>Sum_ALB_Day14</t>
  </si>
  <si>
    <t>Sum_ALB_Day11</t>
  </si>
  <si>
    <t>Total_Sum(Day14 ALB)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</si>
</sst>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3" fillId="0" borderId="3" xfId="0" applyNumberFormat="1" applyFont="1" applyFill="1" applyBorder="1" applyAlignment="1">
      <alignment horizontal="center"/>
    </xf>
    <xf numFmtId="0" fontId="4" fillId="0" borderId="0" xfId="0" applyFont="1"/>
    <xf numFmtId="2" fontId="3" fillId="0" borderId="3" xfId="0" applyNumberFormat="1" applyFont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9"/>
  <sheetViews>
    <sheetView workbookViewId="0">
      <pane xSplit="1" topLeftCell="B1" activePane="topRight" state="frozen"/>
      <selection activeCell="A15" sqref="A15"/>
      <selection pane="topRight" activeCell="W55" sqref="W55:AC56"/>
    </sheetView>
  </sheetViews>
  <sheetFormatPr baseColWidth="10" defaultColWidth="8.83203125" defaultRowHeight="15" x14ac:dyDescent="0.2"/>
  <cols>
    <col min="1" max="1" width="9.6640625" bestFit="1" customWidth="1"/>
    <col min="2" max="6" width="12.6640625" bestFit="1" customWidth="1"/>
    <col min="7" max="7" width="8.33203125" bestFit="1" customWidth="1"/>
    <col min="8" max="8" width="12.6640625" bestFit="1" customWidth="1"/>
    <col min="9" max="9" width="12.1640625" bestFit="1" customWidth="1"/>
    <col min="10" max="11" width="12.6640625" bestFit="1" customWidth="1"/>
    <col min="12" max="12" width="12.1640625" bestFit="1" customWidth="1"/>
    <col min="13" max="13" width="12.6640625" bestFit="1" customWidth="1"/>
    <col min="14" max="14" width="15.6640625" bestFit="1" customWidth="1"/>
    <col min="15" max="16" width="14.6640625" bestFit="1" customWidth="1"/>
    <col min="17" max="18" width="13.1640625" bestFit="1" customWidth="1"/>
    <col min="19" max="21" width="14.1640625" bestFit="1" customWidth="1"/>
    <col min="22" max="24" width="15.1640625" bestFit="1" customWidth="1"/>
    <col min="25" max="25" width="15.6640625" bestFit="1" customWidth="1"/>
    <col min="26" max="27" width="14.6640625" bestFit="1" customWidth="1"/>
    <col min="28" max="29" width="13.1640625" bestFit="1" customWidth="1"/>
    <col min="30" max="32" width="14.1640625" bestFit="1" customWidth="1"/>
    <col min="33" max="35" width="15.1640625" bestFit="1" customWidth="1"/>
    <col min="36" max="36" width="13" bestFit="1" customWidth="1"/>
    <col min="37" max="46" width="12.6640625" bestFit="1" customWidth="1"/>
  </cols>
  <sheetData>
    <row r="1" spans="1:4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46</v>
      </c>
      <c r="C2">
        <v>0.79013640821068476</v>
      </c>
      <c r="E2">
        <v>0.8124653741872413</v>
      </c>
      <c r="F2">
        <v>3.4602032038859352</v>
      </c>
      <c r="H2">
        <v>0.51430429657598919</v>
      </c>
      <c r="J2">
        <v>1.0041311825390691</v>
      </c>
      <c r="K2">
        <v>-1.4840522837482371</v>
      </c>
      <c r="M2">
        <v>4.3687092629727244</v>
      </c>
      <c r="O2">
        <v>3.586889017500722</v>
      </c>
      <c r="Q2">
        <v>2.3483455627110321</v>
      </c>
      <c r="R2">
        <v>7.9572391318230977</v>
      </c>
      <c r="S2">
        <v>10.450022182437669</v>
      </c>
      <c r="U2">
        <v>3.8508490513882232</v>
      </c>
      <c r="V2">
        <v>0.97556774802696644</v>
      </c>
      <c r="X2">
        <v>2.169207473178254</v>
      </c>
      <c r="Z2">
        <v>0.69829520775052945</v>
      </c>
      <c r="AB2">
        <v>1.020293716550505</v>
      </c>
      <c r="AC2">
        <v>2.345960269625929</v>
      </c>
      <c r="AD2">
        <v>2.3023754468733251</v>
      </c>
      <c r="AF2">
        <v>1.36875806160484</v>
      </c>
      <c r="AG2">
        <v>-2.2336678743868839</v>
      </c>
      <c r="AI2">
        <v>-0.6821060377686311</v>
      </c>
      <c r="AK2">
        <v>2.6581422095293199</v>
      </c>
      <c r="AM2">
        <v>3.8694999433806121</v>
      </c>
      <c r="AN2">
        <v>1.769669199251886</v>
      </c>
      <c r="AO2">
        <v>2.042445266695299</v>
      </c>
      <c r="AQ2">
        <v>2.4790503319231298</v>
      </c>
      <c r="AR2">
        <v>-9.6306128664652793</v>
      </c>
      <c r="AT2">
        <v>-14.27642602866619</v>
      </c>
    </row>
    <row r="3" spans="1:46" x14ac:dyDescent="0.2">
      <c r="A3" t="s">
        <v>47</v>
      </c>
      <c r="B3">
        <v>-1.672075278085821</v>
      </c>
      <c r="C3">
        <v>-1.234743433976498</v>
      </c>
      <c r="D3">
        <v>-2.9196309609079929</v>
      </c>
      <c r="E3">
        <v>-2.725696666364275</v>
      </c>
      <c r="F3">
        <v>-2.9196309609079929</v>
      </c>
      <c r="H3">
        <v>2.5309634102570522</v>
      </c>
      <c r="I3">
        <v>4.6952722469082691</v>
      </c>
      <c r="N3">
        <v>-2.205169571369539</v>
      </c>
      <c r="O3">
        <v>-2.3515027931018282</v>
      </c>
      <c r="P3">
        <v>-2.1972563251471779</v>
      </c>
      <c r="Q3">
        <v>-2.174277833323206</v>
      </c>
      <c r="R3">
        <v>-3.2784875158658129</v>
      </c>
      <c r="S3">
        <v>-3.7731973560752561</v>
      </c>
      <c r="T3">
        <v>-3.419610157630661</v>
      </c>
      <c r="Y3">
        <v>-1.150599931943016</v>
      </c>
      <c r="Z3">
        <v>-0.67804987790121662</v>
      </c>
      <c r="AA3">
        <v>-1.1326440648189671</v>
      </c>
      <c r="AB3">
        <v>-1.2445639954813481</v>
      </c>
      <c r="AC3">
        <v>-3.0744151742030161</v>
      </c>
      <c r="AD3">
        <v>-3.293156611972397</v>
      </c>
      <c r="AE3">
        <v>-2.766822963083039</v>
      </c>
      <c r="AJ3">
        <v>0.44909358686528578</v>
      </c>
      <c r="AK3">
        <v>-0.43452111551040101</v>
      </c>
      <c r="AL3">
        <v>-1.673608041794187</v>
      </c>
      <c r="AM3">
        <v>-1.6538337940967911</v>
      </c>
      <c r="AN3">
        <v>-7.1231142058693822</v>
      </c>
      <c r="AO3">
        <v>-7.0729582995785414</v>
      </c>
      <c r="AP3">
        <v>-8.7571924026360275</v>
      </c>
    </row>
    <row r="4" spans="1:46" x14ac:dyDescent="0.2">
      <c r="A4" t="s">
        <v>48</v>
      </c>
      <c r="C4">
        <v>0.44777836012463468</v>
      </c>
      <c r="D4">
        <v>-0.26164025771339622</v>
      </c>
      <c r="E4">
        <v>1.558097908833475</v>
      </c>
      <c r="F4">
        <v>2.450588699705664E-2</v>
      </c>
      <c r="H4">
        <v>0.91160285123318918</v>
      </c>
      <c r="J4">
        <v>5.266301221447376E-2</v>
      </c>
      <c r="K4">
        <v>1.1406803819966</v>
      </c>
      <c r="O4">
        <v>0.85122512678325635</v>
      </c>
      <c r="P4">
        <v>-0.37587635250325491</v>
      </c>
      <c r="Q4">
        <v>1.342825592671828</v>
      </c>
      <c r="R4">
        <v>-4.8050200081782332E-2</v>
      </c>
      <c r="S4">
        <v>0.26104333394515328</v>
      </c>
      <c r="U4">
        <v>0.26692978131771572</v>
      </c>
      <c r="V4">
        <v>1.73431817367687</v>
      </c>
      <c r="Z4">
        <v>0.56557742735596106</v>
      </c>
      <c r="AA4">
        <v>0.46072856560290038</v>
      </c>
      <c r="AB4">
        <v>1.659054324208447</v>
      </c>
      <c r="AC4">
        <v>0.75847269570759235</v>
      </c>
      <c r="AD4">
        <v>-8.841874239118884E-2</v>
      </c>
      <c r="AF4">
        <v>8.8273875489384299E-2</v>
      </c>
      <c r="AG4">
        <v>0.78241933682355458</v>
      </c>
      <c r="AK4">
        <v>0.68828109673253091</v>
      </c>
      <c r="AL4">
        <v>-4.827640150316212E-2</v>
      </c>
      <c r="AM4">
        <v>-0.23398395519648851</v>
      </c>
      <c r="AN4">
        <v>-0.12868267876434261</v>
      </c>
      <c r="AO4">
        <v>-0.54718577989449191</v>
      </c>
      <c r="AQ4">
        <v>0.56377987408456542</v>
      </c>
      <c r="AR4">
        <v>1.2837720085180711</v>
      </c>
    </row>
    <row r="5" spans="1:46" x14ac:dyDescent="0.2">
      <c r="A5" t="s">
        <v>49</v>
      </c>
      <c r="C5">
        <v>-0.99976583005322561</v>
      </c>
      <c r="E5">
        <v>-0.81086773604023155</v>
      </c>
      <c r="F5">
        <v>-3.5531063862779222</v>
      </c>
      <c r="H5">
        <v>-0.38019515062704701</v>
      </c>
      <c r="J5">
        <v>-1.2102793614235829</v>
      </c>
      <c r="K5">
        <v>-2.1860709457630878</v>
      </c>
      <c r="M5">
        <v>0.56666125449004756</v>
      </c>
      <c r="O5">
        <v>-0.84021223731658368</v>
      </c>
      <c r="Q5">
        <v>-4.19536991417509E-2</v>
      </c>
      <c r="R5">
        <v>1.1574105838099169</v>
      </c>
      <c r="S5">
        <v>-0.95208538549852617</v>
      </c>
      <c r="U5">
        <v>-0.89153724460995443</v>
      </c>
      <c r="V5">
        <v>-2.9843958586894579</v>
      </c>
      <c r="X5">
        <v>-6.7042906504010098</v>
      </c>
      <c r="Z5">
        <v>-3.1408603229709628</v>
      </c>
      <c r="AB5">
        <v>-2.374113224609681</v>
      </c>
      <c r="AC5">
        <v>-0.87753430906450858</v>
      </c>
      <c r="AD5">
        <v>-2.4326971990245099</v>
      </c>
      <c r="AF5">
        <v>-2.3778124363996311</v>
      </c>
      <c r="AG5">
        <v>-5.6777660531175362</v>
      </c>
      <c r="AI5">
        <v>-7.6282628616976904</v>
      </c>
      <c r="AK5">
        <v>-1.431301347451954</v>
      </c>
      <c r="AM5">
        <v>-1.268741740073978</v>
      </c>
      <c r="AN5">
        <v>-2.9244913102776282</v>
      </c>
      <c r="AO5">
        <v>-0.69241782703913413</v>
      </c>
      <c r="AQ5">
        <v>-0.90798250860926566</v>
      </c>
      <c r="AR5">
        <v>-0.22500071085248949</v>
      </c>
      <c r="AT5">
        <v>-10.56477184304117</v>
      </c>
    </row>
    <row r="6" spans="1:46" x14ac:dyDescent="0.2">
      <c r="A6" t="s">
        <v>50</v>
      </c>
      <c r="C6">
        <v>-3.794317813657972</v>
      </c>
      <c r="E6">
        <v>-0.58272234293553082</v>
      </c>
      <c r="F6">
        <v>1.0918246822493609</v>
      </c>
      <c r="H6">
        <v>-3.794317813657972</v>
      </c>
      <c r="J6">
        <v>-1.702726195392847</v>
      </c>
      <c r="K6">
        <v>6.7067343222535589E-2</v>
      </c>
      <c r="M6">
        <v>-0.5359351688429187</v>
      </c>
      <c r="O6">
        <v>-0.62700314821094816</v>
      </c>
      <c r="Q6">
        <v>9.8372191324877345E-2</v>
      </c>
      <c r="R6">
        <v>8.1934086170947409E-3</v>
      </c>
      <c r="S6">
        <v>0.1948991047656215</v>
      </c>
      <c r="U6">
        <v>1.8186394115951281</v>
      </c>
      <c r="V6">
        <v>-0.44000532702962619</v>
      </c>
      <c r="X6">
        <v>0.56660014432405226</v>
      </c>
      <c r="Z6">
        <v>-4.5754652168123267</v>
      </c>
      <c r="AB6">
        <v>-0.93155465679941751</v>
      </c>
      <c r="AC6">
        <v>-1.187354668020252</v>
      </c>
      <c r="AD6">
        <v>-0.89234540904306103</v>
      </c>
      <c r="AF6">
        <v>0.3384835504207872</v>
      </c>
      <c r="AG6">
        <v>-1.4219034839745659</v>
      </c>
      <c r="AI6">
        <v>-0.35265270542399851</v>
      </c>
      <c r="AK6">
        <v>2.2489837065070821</v>
      </c>
      <c r="AM6">
        <v>4.9860819906208604</v>
      </c>
      <c r="AN6">
        <v>0.69291392168628274</v>
      </c>
      <c r="AO6">
        <v>1.25291311404011</v>
      </c>
      <c r="AQ6">
        <v>4.5946654796820523</v>
      </c>
      <c r="AR6">
        <v>3.931929561503599</v>
      </c>
      <c r="AT6">
        <v>4.1027200132841593</v>
      </c>
    </row>
    <row r="7" spans="1:46" x14ac:dyDescent="0.2">
      <c r="A7" t="s">
        <v>51</v>
      </c>
      <c r="C7">
        <v>0.70224044401800945</v>
      </c>
      <c r="E7">
        <v>-0.33835036550706638</v>
      </c>
      <c r="F7">
        <v>0.59370883032281352</v>
      </c>
      <c r="H7">
        <v>6.1589552323036987E-3</v>
      </c>
      <c r="J7">
        <v>-1.659519171792619</v>
      </c>
      <c r="K7">
        <v>-0.60100212719425783</v>
      </c>
      <c r="M7">
        <v>0.99549437607801383</v>
      </c>
      <c r="O7">
        <v>-0.95564286209699378</v>
      </c>
      <c r="Q7">
        <v>9.3877523158174783E-2</v>
      </c>
      <c r="R7">
        <v>-0.67759226274822248</v>
      </c>
      <c r="S7">
        <v>-1.34077318403124</v>
      </c>
      <c r="U7">
        <v>-1.253364812119766</v>
      </c>
      <c r="V7">
        <v>-1.992153797245046</v>
      </c>
      <c r="X7">
        <v>-2.742022643813133</v>
      </c>
      <c r="Z7">
        <v>-0.85054586879101612</v>
      </c>
      <c r="AB7">
        <v>-0.20334241171443729</v>
      </c>
      <c r="AC7">
        <v>-0.1549304243807102</v>
      </c>
      <c r="AD7">
        <v>-0.44135172522589677</v>
      </c>
      <c r="AF7">
        <v>-1.220398185340891</v>
      </c>
      <c r="AG7">
        <v>-0.90505753978899905</v>
      </c>
      <c r="AI7">
        <v>-0.1185230869347178</v>
      </c>
      <c r="AK7">
        <v>3.9420994866668502</v>
      </c>
      <c r="AM7">
        <v>2.6170320845985859</v>
      </c>
      <c r="AN7">
        <v>0.49563675319783418</v>
      </c>
      <c r="AO7">
        <v>1.352263391908499</v>
      </c>
      <c r="AQ7">
        <v>2.745557938399096</v>
      </c>
      <c r="AR7">
        <v>2.7037331369550168</v>
      </c>
      <c r="AT7">
        <v>0.4030273754344324</v>
      </c>
    </row>
    <row r="8" spans="1:46" x14ac:dyDescent="0.2">
      <c r="A8" t="s">
        <v>52</v>
      </c>
      <c r="C8">
        <v>-0.32421720527036979</v>
      </c>
      <c r="E8">
        <v>0.24868137299592111</v>
      </c>
      <c r="F8">
        <v>-7.5758696259014234E-3</v>
      </c>
      <c r="H8">
        <v>-2.877555519107033</v>
      </c>
      <c r="J8">
        <v>0.30152132789363012</v>
      </c>
      <c r="K8">
        <v>4.7776291062396288</v>
      </c>
      <c r="L8">
        <v>8.0812944047791895</v>
      </c>
      <c r="O8">
        <v>-0.34406139034880728</v>
      </c>
      <c r="Q8">
        <v>-0.48497704090134353</v>
      </c>
      <c r="R8">
        <v>0.33551248330223121</v>
      </c>
      <c r="S8">
        <v>-3.204681861168031</v>
      </c>
      <c r="U8">
        <v>-0.58110309906198621</v>
      </c>
      <c r="V8">
        <v>-1.151211615780946</v>
      </c>
      <c r="W8">
        <v>-1.928081540787596</v>
      </c>
      <c r="Z8">
        <v>-2.3983509565419041</v>
      </c>
      <c r="AB8">
        <v>-1.471992109466129</v>
      </c>
      <c r="AC8">
        <v>-1.350290943312247</v>
      </c>
      <c r="AD8">
        <v>-2.2724407952783401</v>
      </c>
      <c r="AF8">
        <v>-4.5966210815762061</v>
      </c>
      <c r="AG8">
        <v>-6.9473458827003496</v>
      </c>
      <c r="AH8">
        <v>-7.8879507713074863</v>
      </c>
      <c r="AK8">
        <v>0.44239030711075678</v>
      </c>
      <c r="AM8">
        <v>1.4008210124929661</v>
      </c>
      <c r="AN8">
        <v>-1.0115645298759841</v>
      </c>
      <c r="AO8">
        <v>-1.2147543271284871</v>
      </c>
      <c r="AQ8">
        <v>-6.9023345681707493</v>
      </c>
      <c r="AR8">
        <v>-7.7799710934370374</v>
      </c>
      <c r="AS8">
        <v>-8.4723165565523111</v>
      </c>
    </row>
    <row r="9" spans="1:46" x14ac:dyDescent="0.2">
      <c r="A9" t="s">
        <v>53</v>
      </c>
      <c r="B9">
        <v>0.7473987342232512</v>
      </c>
      <c r="C9">
        <v>0.32595443995078299</v>
      </c>
      <c r="D9">
        <v>0.1452966310202107</v>
      </c>
      <c r="E9">
        <v>-1.1119394553677771</v>
      </c>
      <c r="F9">
        <v>-1.394127565532278</v>
      </c>
      <c r="H9">
        <v>-1.0822757629591251</v>
      </c>
      <c r="J9">
        <v>4.6308628651681634</v>
      </c>
      <c r="N9">
        <v>-1.9492982056211521</v>
      </c>
      <c r="O9">
        <v>-1.2361580072518841</v>
      </c>
      <c r="P9">
        <v>-1.173821021957471</v>
      </c>
      <c r="Q9">
        <v>-2.113959499021036</v>
      </c>
      <c r="R9">
        <v>-1.8058649555834749</v>
      </c>
      <c r="S9">
        <v>-1.431160835568686</v>
      </c>
      <c r="U9">
        <v>-1.878327370069228</v>
      </c>
      <c r="Y9">
        <v>-2.3372425449639311</v>
      </c>
      <c r="Z9">
        <v>-1.4865503985611159</v>
      </c>
      <c r="AA9">
        <v>-1.507793356187598</v>
      </c>
      <c r="AB9">
        <v>-0.65442910926224551</v>
      </c>
      <c r="AC9">
        <v>-0.421918788302167</v>
      </c>
      <c r="AD9">
        <v>-1.958498689085056</v>
      </c>
      <c r="AF9">
        <v>-3.753962181287855</v>
      </c>
      <c r="AJ9">
        <v>5.0827398451416776</v>
      </c>
      <c r="AK9">
        <v>3.096494890684697</v>
      </c>
      <c r="AL9">
        <v>2.65233125545311</v>
      </c>
      <c r="AM9">
        <v>1.8281959542952699</v>
      </c>
      <c r="AN9">
        <v>-0.2282481198953715</v>
      </c>
      <c r="AO9">
        <v>-3.1217222045612738</v>
      </c>
      <c r="AQ9">
        <v>-4.2047745059380439</v>
      </c>
    </row>
    <row r="21" spans="1:46" s="1" customFormat="1" x14ac:dyDescent="0.2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  <c r="R21" s="1" t="s">
        <v>17</v>
      </c>
      <c r="S21" s="1" t="s">
        <v>18</v>
      </c>
      <c r="T21" s="1" t="s">
        <v>19</v>
      </c>
      <c r="U21" s="1" t="s">
        <v>20</v>
      </c>
      <c r="V21" s="1" t="s">
        <v>21</v>
      </c>
      <c r="W21" s="1" t="s">
        <v>22</v>
      </c>
      <c r="X21" s="1" t="s">
        <v>23</v>
      </c>
      <c r="Y21" s="1" t="s">
        <v>24</v>
      </c>
      <c r="Z21" s="1" t="s">
        <v>25</v>
      </c>
      <c r="AA21" s="1" t="s">
        <v>26</v>
      </c>
      <c r="AB21" s="1" t="s">
        <v>27</v>
      </c>
      <c r="AC21" s="1" t="s">
        <v>28</v>
      </c>
      <c r="AD21" s="1" t="s">
        <v>29</v>
      </c>
      <c r="AE21" s="1" t="s">
        <v>30</v>
      </c>
      <c r="AF21" s="1" t="s">
        <v>31</v>
      </c>
      <c r="AG21" s="1" t="s">
        <v>32</v>
      </c>
      <c r="AH21" s="1" t="s">
        <v>33</v>
      </c>
      <c r="AI21" s="1" t="s">
        <v>34</v>
      </c>
      <c r="AJ21" s="1" t="s">
        <v>35</v>
      </c>
      <c r="AK21" s="1" t="s">
        <v>36</v>
      </c>
      <c r="AL21" s="1" t="s">
        <v>37</v>
      </c>
      <c r="AM21" s="1" t="s">
        <v>38</v>
      </c>
      <c r="AN21" s="1" t="s">
        <v>39</v>
      </c>
      <c r="AO21" s="1" t="s">
        <v>40</v>
      </c>
      <c r="AP21" s="1" t="s">
        <v>41</v>
      </c>
      <c r="AQ21" s="1" t="s">
        <v>42</v>
      </c>
      <c r="AR21" s="1" t="s">
        <v>43</v>
      </c>
      <c r="AS21" s="1" t="s">
        <v>44</v>
      </c>
      <c r="AT21" s="1" t="s">
        <v>45</v>
      </c>
    </row>
    <row r="22" spans="1:46" x14ac:dyDescent="0.2">
      <c r="A22" t="s">
        <v>46</v>
      </c>
      <c r="B22" t="str">
        <f>IF(B2="","",IF(B2&lt;0,0,ABS(B2)))</f>
        <v/>
      </c>
      <c r="C22">
        <f t="shared" ref="C22:M22" si="0">IF(C2="","",IF(C2&lt;0,0,ABS(C2)))</f>
        <v>0.79013640821068476</v>
      </c>
      <c r="D22" t="str">
        <f t="shared" si="0"/>
        <v/>
      </c>
      <c r="E22">
        <f t="shared" si="0"/>
        <v>0.8124653741872413</v>
      </c>
      <c r="F22">
        <f t="shared" si="0"/>
        <v>3.4602032038859352</v>
      </c>
      <c r="G22" t="str">
        <f t="shared" si="0"/>
        <v/>
      </c>
      <c r="H22">
        <f t="shared" si="0"/>
        <v>0.51430429657598919</v>
      </c>
      <c r="I22" t="str">
        <f t="shared" si="0"/>
        <v/>
      </c>
      <c r="J22">
        <f t="shared" si="0"/>
        <v>1.0041311825390691</v>
      </c>
      <c r="K22">
        <f t="shared" si="0"/>
        <v>0</v>
      </c>
      <c r="L22" t="str">
        <f t="shared" si="0"/>
        <v/>
      </c>
      <c r="M22">
        <f t="shared" si="0"/>
        <v>4.3687092629727244</v>
      </c>
      <c r="N22" t="str">
        <f>IF(N2="","",IF(N2&gt;0,0,ABS(N2)))</f>
        <v/>
      </c>
      <c r="O22">
        <f t="shared" ref="O22:AT29" si="1">IF(O2="","",IF(O2&gt;0,0,ABS(O2)))</f>
        <v>0</v>
      </c>
      <c r="P22" t="str">
        <f t="shared" si="1"/>
        <v/>
      </c>
      <c r="Q22">
        <f t="shared" si="1"/>
        <v>0</v>
      </c>
      <c r="R22">
        <f t="shared" si="1"/>
        <v>0</v>
      </c>
      <c r="S22">
        <f t="shared" si="1"/>
        <v>0</v>
      </c>
      <c r="T22" t="str">
        <f t="shared" si="1"/>
        <v/>
      </c>
      <c r="U22">
        <f t="shared" si="1"/>
        <v>0</v>
      </c>
      <c r="V22">
        <f t="shared" si="1"/>
        <v>0</v>
      </c>
      <c r="W22" t="str">
        <f t="shared" si="1"/>
        <v/>
      </c>
      <c r="X22">
        <f t="shared" si="1"/>
        <v>0</v>
      </c>
      <c r="Y22" t="str">
        <f t="shared" si="1"/>
        <v/>
      </c>
      <c r="Z22">
        <f t="shared" si="1"/>
        <v>0</v>
      </c>
      <c r="AA22" t="str">
        <f t="shared" si="1"/>
        <v/>
      </c>
      <c r="AB22">
        <f t="shared" si="1"/>
        <v>0</v>
      </c>
      <c r="AC22">
        <f t="shared" si="1"/>
        <v>0</v>
      </c>
      <c r="AD22">
        <f t="shared" si="1"/>
        <v>0</v>
      </c>
      <c r="AE22" t="str">
        <f t="shared" si="1"/>
        <v/>
      </c>
      <c r="AF22">
        <f t="shared" si="1"/>
        <v>0</v>
      </c>
      <c r="AG22">
        <f t="shared" si="1"/>
        <v>2.2336678743868839</v>
      </c>
      <c r="AH22" t="str">
        <f t="shared" si="1"/>
        <v/>
      </c>
      <c r="AI22">
        <f t="shared" si="1"/>
        <v>0.6821060377686311</v>
      </c>
      <c r="AJ22" t="str">
        <f t="shared" si="1"/>
        <v/>
      </c>
      <c r="AK22">
        <f t="shared" si="1"/>
        <v>0</v>
      </c>
      <c r="AL22" t="str">
        <f t="shared" si="1"/>
        <v/>
      </c>
      <c r="AM22">
        <f t="shared" si="1"/>
        <v>0</v>
      </c>
      <c r="AN22">
        <f t="shared" si="1"/>
        <v>0</v>
      </c>
      <c r="AO22">
        <f t="shared" si="1"/>
        <v>0</v>
      </c>
      <c r="AP22" t="str">
        <f t="shared" si="1"/>
        <v/>
      </c>
      <c r="AQ22">
        <f t="shared" si="1"/>
        <v>0</v>
      </c>
      <c r="AR22">
        <f t="shared" si="1"/>
        <v>9.6306128664652793</v>
      </c>
      <c r="AS22" t="str">
        <f t="shared" si="1"/>
        <v/>
      </c>
      <c r="AT22">
        <f t="shared" si="1"/>
        <v>14.27642602866619</v>
      </c>
    </row>
    <row r="23" spans="1:46" x14ac:dyDescent="0.2">
      <c r="A23" t="s">
        <v>47</v>
      </c>
      <c r="B23">
        <f t="shared" ref="B23:M29" si="2">IF(B3="","",IF(B3&lt;0,0,ABS(B3)))</f>
        <v>0</v>
      </c>
      <c r="C23">
        <f t="shared" si="2"/>
        <v>0</v>
      </c>
      <c r="D23">
        <f t="shared" si="2"/>
        <v>0</v>
      </c>
      <c r="E23">
        <f t="shared" si="2"/>
        <v>0</v>
      </c>
      <c r="F23">
        <f t="shared" si="2"/>
        <v>0</v>
      </c>
      <c r="G23" t="str">
        <f t="shared" si="2"/>
        <v/>
      </c>
      <c r="H23">
        <f t="shared" si="2"/>
        <v>2.5309634102570522</v>
      </c>
      <c r="I23">
        <f t="shared" si="2"/>
        <v>4.6952722469082691</v>
      </c>
      <c r="J23" t="str">
        <f t="shared" si="2"/>
        <v/>
      </c>
      <c r="K23" t="str">
        <f t="shared" si="2"/>
        <v/>
      </c>
      <c r="L23" t="str">
        <f t="shared" si="2"/>
        <v/>
      </c>
      <c r="M23" t="str">
        <f t="shared" si="2"/>
        <v/>
      </c>
      <c r="N23">
        <f t="shared" ref="N23:AC29" si="3">IF(N3="","",IF(N3&gt;0,0,ABS(N3)))</f>
        <v>2.205169571369539</v>
      </c>
      <c r="O23">
        <f t="shared" si="3"/>
        <v>2.3515027931018282</v>
      </c>
      <c r="P23">
        <f t="shared" si="3"/>
        <v>2.1972563251471779</v>
      </c>
      <c r="Q23">
        <f t="shared" si="3"/>
        <v>2.174277833323206</v>
      </c>
      <c r="R23">
        <f t="shared" si="3"/>
        <v>3.2784875158658129</v>
      </c>
      <c r="S23">
        <f t="shared" si="3"/>
        <v>3.7731973560752561</v>
      </c>
      <c r="T23">
        <f t="shared" si="3"/>
        <v>3.419610157630661</v>
      </c>
      <c r="U23" t="str">
        <f t="shared" si="3"/>
        <v/>
      </c>
      <c r="V23" t="str">
        <f t="shared" si="3"/>
        <v/>
      </c>
      <c r="W23" t="str">
        <f t="shared" si="3"/>
        <v/>
      </c>
      <c r="X23" t="str">
        <f t="shared" si="3"/>
        <v/>
      </c>
      <c r="Y23">
        <f t="shared" si="3"/>
        <v>1.150599931943016</v>
      </c>
      <c r="Z23">
        <f t="shared" si="3"/>
        <v>0.67804987790121662</v>
      </c>
      <c r="AA23">
        <f t="shared" si="3"/>
        <v>1.1326440648189671</v>
      </c>
      <c r="AB23">
        <f t="shared" si="3"/>
        <v>1.2445639954813481</v>
      </c>
      <c r="AC23">
        <f t="shared" si="3"/>
        <v>3.0744151742030161</v>
      </c>
      <c r="AD23">
        <f t="shared" si="1"/>
        <v>3.293156611972397</v>
      </c>
      <c r="AE23">
        <f t="shared" si="1"/>
        <v>2.766822963083039</v>
      </c>
      <c r="AF23" t="str">
        <f t="shared" si="1"/>
        <v/>
      </c>
      <c r="AG23" t="str">
        <f t="shared" si="1"/>
        <v/>
      </c>
      <c r="AH23" t="str">
        <f t="shared" si="1"/>
        <v/>
      </c>
      <c r="AI23" t="str">
        <f t="shared" si="1"/>
        <v/>
      </c>
      <c r="AJ23">
        <f t="shared" si="1"/>
        <v>0</v>
      </c>
      <c r="AK23">
        <f t="shared" si="1"/>
        <v>0.43452111551040101</v>
      </c>
      <c r="AL23">
        <f t="shared" si="1"/>
        <v>1.673608041794187</v>
      </c>
      <c r="AM23">
        <f t="shared" si="1"/>
        <v>1.6538337940967911</v>
      </c>
      <c r="AN23">
        <f t="shared" si="1"/>
        <v>7.1231142058693822</v>
      </c>
      <c r="AO23">
        <f t="shared" si="1"/>
        <v>7.0729582995785414</v>
      </c>
      <c r="AP23">
        <f t="shared" si="1"/>
        <v>8.7571924026360275</v>
      </c>
      <c r="AQ23" t="str">
        <f t="shared" si="1"/>
        <v/>
      </c>
      <c r="AR23" t="str">
        <f t="shared" si="1"/>
        <v/>
      </c>
      <c r="AS23" t="str">
        <f t="shared" si="1"/>
        <v/>
      </c>
      <c r="AT23" t="str">
        <f t="shared" si="1"/>
        <v/>
      </c>
    </row>
    <row r="24" spans="1:46" x14ac:dyDescent="0.2">
      <c r="A24" t="s">
        <v>48</v>
      </c>
      <c r="B24" t="str">
        <f t="shared" si="2"/>
        <v/>
      </c>
      <c r="C24">
        <f t="shared" si="2"/>
        <v>0.44777836012463468</v>
      </c>
      <c r="D24">
        <f t="shared" si="2"/>
        <v>0</v>
      </c>
      <c r="E24">
        <f t="shared" si="2"/>
        <v>1.558097908833475</v>
      </c>
      <c r="F24">
        <f t="shared" si="2"/>
        <v>2.450588699705664E-2</v>
      </c>
      <c r="G24" t="str">
        <f t="shared" si="2"/>
        <v/>
      </c>
      <c r="H24">
        <f t="shared" si="2"/>
        <v>0.91160285123318918</v>
      </c>
      <c r="I24" t="str">
        <f t="shared" si="2"/>
        <v/>
      </c>
      <c r="J24">
        <f t="shared" si="2"/>
        <v>5.266301221447376E-2</v>
      </c>
      <c r="K24">
        <f t="shared" si="2"/>
        <v>1.1406803819966</v>
      </c>
      <c r="L24" t="str">
        <f t="shared" si="2"/>
        <v/>
      </c>
      <c r="M24" t="str">
        <f t="shared" si="2"/>
        <v/>
      </c>
      <c r="N24" t="str">
        <f t="shared" si="3"/>
        <v/>
      </c>
      <c r="O24">
        <f t="shared" si="1"/>
        <v>0</v>
      </c>
      <c r="P24">
        <f t="shared" si="1"/>
        <v>0.37587635250325491</v>
      </c>
      <c r="Q24">
        <f t="shared" si="1"/>
        <v>0</v>
      </c>
      <c r="R24">
        <f t="shared" si="1"/>
        <v>4.8050200081782332E-2</v>
      </c>
      <c r="S24">
        <f t="shared" si="1"/>
        <v>0</v>
      </c>
      <c r="T24" t="str">
        <f t="shared" si="1"/>
        <v/>
      </c>
      <c r="U24">
        <f t="shared" si="1"/>
        <v>0</v>
      </c>
      <c r="V24">
        <f t="shared" si="1"/>
        <v>0</v>
      </c>
      <c r="W24" t="str">
        <f t="shared" si="1"/>
        <v/>
      </c>
      <c r="X24" t="str">
        <f t="shared" si="1"/>
        <v/>
      </c>
      <c r="Y24" t="str">
        <f t="shared" si="1"/>
        <v/>
      </c>
      <c r="Z24">
        <f t="shared" si="1"/>
        <v>0</v>
      </c>
      <c r="AA24">
        <f t="shared" si="1"/>
        <v>0</v>
      </c>
      <c r="AB24">
        <f t="shared" si="1"/>
        <v>0</v>
      </c>
      <c r="AC24">
        <f t="shared" si="1"/>
        <v>0</v>
      </c>
      <c r="AD24">
        <f t="shared" si="1"/>
        <v>8.841874239118884E-2</v>
      </c>
      <c r="AE24" t="str">
        <f t="shared" si="1"/>
        <v/>
      </c>
      <c r="AF24">
        <f t="shared" si="1"/>
        <v>0</v>
      </c>
      <c r="AG24">
        <f t="shared" si="1"/>
        <v>0</v>
      </c>
      <c r="AH24" t="str">
        <f t="shared" si="1"/>
        <v/>
      </c>
      <c r="AI24" t="str">
        <f t="shared" si="1"/>
        <v/>
      </c>
      <c r="AJ24" t="str">
        <f t="shared" si="1"/>
        <v/>
      </c>
      <c r="AK24">
        <f t="shared" si="1"/>
        <v>0</v>
      </c>
      <c r="AL24">
        <f t="shared" si="1"/>
        <v>4.827640150316212E-2</v>
      </c>
      <c r="AM24">
        <f t="shared" si="1"/>
        <v>0.23398395519648851</v>
      </c>
      <c r="AN24">
        <f t="shared" si="1"/>
        <v>0.12868267876434261</v>
      </c>
      <c r="AO24">
        <f t="shared" si="1"/>
        <v>0.54718577989449191</v>
      </c>
      <c r="AP24" t="str">
        <f t="shared" si="1"/>
        <v/>
      </c>
      <c r="AQ24">
        <f t="shared" si="1"/>
        <v>0</v>
      </c>
      <c r="AR24">
        <f t="shared" si="1"/>
        <v>0</v>
      </c>
      <c r="AS24" t="str">
        <f t="shared" si="1"/>
        <v/>
      </c>
      <c r="AT24" t="str">
        <f t="shared" si="1"/>
        <v/>
      </c>
    </row>
    <row r="25" spans="1:46" x14ac:dyDescent="0.2">
      <c r="A25" t="s">
        <v>49</v>
      </c>
      <c r="B25" t="str">
        <f t="shared" si="2"/>
        <v/>
      </c>
      <c r="C25">
        <f t="shared" si="2"/>
        <v>0</v>
      </c>
      <c r="D25" t="str">
        <f t="shared" si="2"/>
        <v/>
      </c>
      <c r="E25">
        <f t="shared" si="2"/>
        <v>0</v>
      </c>
      <c r="F25">
        <f t="shared" si="2"/>
        <v>0</v>
      </c>
      <c r="G25" t="str">
        <f t="shared" si="2"/>
        <v/>
      </c>
      <c r="H25">
        <f t="shared" si="2"/>
        <v>0</v>
      </c>
      <c r="I25" t="str">
        <f t="shared" si="2"/>
        <v/>
      </c>
      <c r="J25">
        <f t="shared" si="2"/>
        <v>0</v>
      </c>
      <c r="K25">
        <f t="shared" si="2"/>
        <v>0</v>
      </c>
      <c r="L25" t="str">
        <f t="shared" si="2"/>
        <v/>
      </c>
      <c r="M25">
        <f t="shared" si="2"/>
        <v>0.56666125449004756</v>
      </c>
      <c r="N25" t="str">
        <f t="shared" si="3"/>
        <v/>
      </c>
      <c r="O25">
        <f t="shared" si="1"/>
        <v>0.84021223731658368</v>
      </c>
      <c r="P25" t="str">
        <f t="shared" si="1"/>
        <v/>
      </c>
      <c r="Q25">
        <f t="shared" si="1"/>
        <v>4.19536991417509E-2</v>
      </c>
      <c r="R25">
        <f t="shared" si="1"/>
        <v>0</v>
      </c>
      <c r="S25">
        <f t="shared" si="1"/>
        <v>0.95208538549852617</v>
      </c>
      <c r="T25" t="str">
        <f t="shared" si="1"/>
        <v/>
      </c>
      <c r="U25">
        <f t="shared" si="1"/>
        <v>0.89153724460995443</v>
      </c>
      <c r="V25">
        <f t="shared" si="1"/>
        <v>2.9843958586894579</v>
      </c>
      <c r="W25" t="str">
        <f t="shared" si="1"/>
        <v/>
      </c>
      <c r="X25">
        <f t="shared" si="1"/>
        <v>6.7042906504010098</v>
      </c>
      <c r="Y25" t="str">
        <f t="shared" si="1"/>
        <v/>
      </c>
      <c r="Z25">
        <f t="shared" si="1"/>
        <v>3.1408603229709628</v>
      </c>
      <c r="AA25" t="str">
        <f t="shared" si="1"/>
        <v/>
      </c>
      <c r="AB25">
        <f t="shared" si="1"/>
        <v>2.374113224609681</v>
      </c>
      <c r="AC25">
        <f t="shared" si="1"/>
        <v>0.87753430906450858</v>
      </c>
      <c r="AD25">
        <f t="shared" si="1"/>
        <v>2.4326971990245099</v>
      </c>
      <c r="AE25" t="str">
        <f t="shared" si="1"/>
        <v/>
      </c>
      <c r="AF25">
        <f t="shared" si="1"/>
        <v>2.3778124363996311</v>
      </c>
      <c r="AG25">
        <f t="shared" si="1"/>
        <v>5.6777660531175362</v>
      </c>
      <c r="AH25" t="str">
        <f t="shared" si="1"/>
        <v/>
      </c>
      <c r="AI25">
        <f t="shared" si="1"/>
        <v>7.6282628616976904</v>
      </c>
      <c r="AJ25" t="str">
        <f t="shared" si="1"/>
        <v/>
      </c>
      <c r="AK25">
        <f t="shared" si="1"/>
        <v>1.431301347451954</v>
      </c>
      <c r="AL25" t="str">
        <f t="shared" si="1"/>
        <v/>
      </c>
      <c r="AM25">
        <f t="shared" si="1"/>
        <v>1.268741740073978</v>
      </c>
      <c r="AN25">
        <f t="shared" si="1"/>
        <v>2.9244913102776282</v>
      </c>
      <c r="AO25">
        <f t="shared" si="1"/>
        <v>0.69241782703913413</v>
      </c>
      <c r="AP25" t="str">
        <f t="shared" si="1"/>
        <v/>
      </c>
      <c r="AQ25">
        <f t="shared" si="1"/>
        <v>0.90798250860926566</v>
      </c>
      <c r="AR25">
        <f t="shared" si="1"/>
        <v>0.22500071085248949</v>
      </c>
      <c r="AS25" t="str">
        <f t="shared" si="1"/>
        <v/>
      </c>
      <c r="AT25">
        <f t="shared" si="1"/>
        <v>10.56477184304117</v>
      </c>
    </row>
    <row r="26" spans="1:46" x14ac:dyDescent="0.2">
      <c r="A26" t="s">
        <v>50</v>
      </c>
      <c r="B26" t="str">
        <f t="shared" si="2"/>
        <v/>
      </c>
      <c r="C26">
        <f t="shared" si="2"/>
        <v>0</v>
      </c>
      <c r="D26" t="str">
        <f t="shared" si="2"/>
        <v/>
      </c>
      <c r="E26">
        <f t="shared" si="2"/>
        <v>0</v>
      </c>
      <c r="F26">
        <f t="shared" si="2"/>
        <v>1.0918246822493609</v>
      </c>
      <c r="G26" t="str">
        <f t="shared" si="2"/>
        <v/>
      </c>
      <c r="H26">
        <f t="shared" si="2"/>
        <v>0</v>
      </c>
      <c r="I26" t="str">
        <f t="shared" si="2"/>
        <v/>
      </c>
      <c r="J26">
        <f t="shared" si="2"/>
        <v>0</v>
      </c>
      <c r="K26">
        <f t="shared" si="2"/>
        <v>6.7067343222535589E-2</v>
      </c>
      <c r="L26" t="str">
        <f t="shared" si="2"/>
        <v/>
      </c>
      <c r="M26">
        <f t="shared" si="2"/>
        <v>0</v>
      </c>
      <c r="N26" t="str">
        <f t="shared" si="3"/>
        <v/>
      </c>
      <c r="O26">
        <f t="shared" si="1"/>
        <v>0.62700314821094816</v>
      </c>
      <c r="P26" t="str">
        <f t="shared" si="1"/>
        <v/>
      </c>
      <c r="Q26">
        <f t="shared" si="1"/>
        <v>0</v>
      </c>
      <c r="R26">
        <f t="shared" si="1"/>
        <v>0</v>
      </c>
      <c r="S26">
        <f t="shared" si="1"/>
        <v>0</v>
      </c>
      <c r="T26" t="str">
        <f t="shared" si="1"/>
        <v/>
      </c>
      <c r="U26">
        <f t="shared" si="1"/>
        <v>0</v>
      </c>
      <c r="V26">
        <f t="shared" si="1"/>
        <v>0.44000532702962619</v>
      </c>
      <c r="W26" t="str">
        <f t="shared" si="1"/>
        <v/>
      </c>
      <c r="X26">
        <f t="shared" si="1"/>
        <v>0</v>
      </c>
      <c r="Y26" t="str">
        <f t="shared" si="1"/>
        <v/>
      </c>
      <c r="Z26">
        <f t="shared" si="1"/>
        <v>4.5754652168123267</v>
      </c>
      <c r="AA26" t="str">
        <f t="shared" si="1"/>
        <v/>
      </c>
      <c r="AB26">
        <f t="shared" si="1"/>
        <v>0.93155465679941751</v>
      </c>
      <c r="AC26">
        <f t="shared" si="1"/>
        <v>1.187354668020252</v>
      </c>
      <c r="AD26">
        <f t="shared" si="1"/>
        <v>0.89234540904306103</v>
      </c>
      <c r="AE26" t="str">
        <f t="shared" si="1"/>
        <v/>
      </c>
      <c r="AF26">
        <f t="shared" si="1"/>
        <v>0</v>
      </c>
      <c r="AG26">
        <f t="shared" si="1"/>
        <v>1.4219034839745659</v>
      </c>
      <c r="AH26" t="str">
        <f t="shared" si="1"/>
        <v/>
      </c>
      <c r="AI26">
        <f t="shared" si="1"/>
        <v>0.35265270542399851</v>
      </c>
      <c r="AJ26" t="str">
        <f t="shared" si="1"/>
        <v/>
      </c>
      <c r="AK26">
        <f t="shared" si="1"/>
        <v>0</v>
      </c>
      <c r="AL26" t="str">
        <f t="shared" si="1"/>
        <v/>
      </c>
      <c r="AM26">
        <f t="shared" si="1"/>
        <v>0</v>
      </c>
      <c r="AN26">
        <f t="shared" si="1"/>
        <v>0</v>
      </c>
      <c r="AO26">
        <f t="shared" si="1"/>
        <v>0</v>
      </c>
      <c r="AP26" t="str">
        <f t="shared" si="1"/>
        <v/>
      </c>
      <c r="AQ26">
        <f t="shared" si="1"/>
        <v>0</v>
      </c>
      <c r="AR26">
        <f t="shared" si="1"/>
        <v>0</v>
      </c>
      <c r="AS26" t="str">
        <f t="shared" si="1"/>
        <v/>
      </c>
      <c r="AT26">
        <f t="shared" si="1"/>
        <v>0</v>
      </c>
    </row>
    <row r="27" spans="1:46" x14ac:dyDescent="0.2">
      <c r="A27" t="s">
        <v>51</v>
      </c>
      <c r="B27" t="str">
        <f t="shared" si="2"/>
        <v/>
      </c>
      <c r="C27">
        <f t="shared" si="2"/>
        <v>0.70224044401800945</v>
      </c>
      <c r="D27" t="str">
        <f t="shared" si="2"/>
        <v/>
      </c>
      <c r="E27">
        <f t="shared" si="2"/>
        <v>0</v>
      </c>
      <c r="F27">
        <f t="shared" si="2"/>
        <v>0.59370883032281352</v>
      </c>
      <c r="G27" t="str">
        <f t="shared" si="2"/>
        <v/>
      </c>
      <c r="H27">
        <f t="shared" si="2"/>
        <v>6.1589552323036987E-3</v>
      </c>
      <c r="I27" t="str">
        <f t="shared" si="2"/>
        <v/>
      </c>
      <c r="J27">
        <f t="shared" si="2"/>
        <v>0</v>
      </c>
      <c r="K27">
        <f t="shared" si="2"/>
        <v>0</v>
      </c>
      <c r="L27" t="str">
        <f t="shared" si="2"/>
        <v/>
      </c>
      <c r="M27">
        <f t="shared" si="2"/>
        <v>0.99549437607801383</v>
      </c>
      <c r="N27" t="str">
        <f t="shared" si="3"/>
        <v/>
      </c>
      <c r="O27">
        <f t="shared" si="1"/>
        <v>0.95564286209699378</v>
      </c>
      <c r="P27" t="str">
        <f t="shared" si="1"/>
        <v/>
      </c>
      <c r="Q27">
        <f t="shared" si="1"/>
        <v>0</v>
      </c>
      <c r="R27">
        <f t="shared" si="1"/>
        <v>0.67759226274822248</v>
      </c>
      <c r="S27">
        <f t="shared" si="1"/>
        <v>1.34077318403124</v>
      </c>
      <c r="T27" t="str">
        <f t="shared" si="1"/>
        <v/>
      </c>
      <c r="U27">
        <f t="shared" si="1"/>
        <v>1.253364812119766</v>
      </c>
      <c r="V27">
        <f t="shared" si="1"/>
        <v>1.992153797245046</v>
      </c>
      <c r="W27" t="str">
        <f t="shared" si="1"/>
        <v/>
      </c>
      <c r="X27">
        <f t="shared" si="1"/>
        <v>2.742022643813133</v>
      </c>
      <c r="Y27" t="str">
        <f t="shared" si="1"/>
        <v/>
      </c>
      <c r="Z27">
        <f t="shared" si="1"/>
        <v>0.85054586879101612</v>
      </c>
      <c r="AA27" t="str">
        <f t="shared" si="1"/>
        <v/>
      </c>
      <c r="AB27">
        <f t="shared" si="1"/>
        <v>0.20334241171443729</v>
      </c>
      <c r="AC27">
        <f t="shared" si="1"/>
        <v>0.1549304243807102</v>
      </c>
      <c r="AD27">
        <f t="shared" si="1"/>
        <v>0.44135172522589677</v>
      </c>
      <c r="AE27" t="str">
        <f t="shared" si="1"/>
        <v/>
      </c>
      <c r="AF27">
        <f t="shared" si="1"/>
        <v>1.220398185340891</v>
      </c>
      <c r="AG27">
        <f t="shared" si="1"/>
        <v>0.90505753978899905</v>
      </c>
      <c r="AH27" t="str">
        <f t="shared" si="1"/>
        <v/>
      </c>
      <c r="AI27">
        <f t="shared" si="1"/>
        <v>0.1185230869347178</v>
      </c>
      <c r="AJ27" t="str">
        <f t="shared" si="1"/>
        <v/>
      </c>
      <c r="AK27">
        <f t="shared" si="1"/>
        <v>0</v>
      </c>
      <c r="AL27" t="str">
        <f t="shared" si="1"/>
        <v/>
      </c>
      <c r="AM27">
        <f t="shared" si="1"/>
        <v>0</v>
      </c>
      <c r="AN27">
        <f t="shared" si="1"/>
        <v>0</v>
      </c>
      <c r="AO27">
        <f t="shared" si="1"/>
        <v>0</v>
      </c>
      <c r="AP27" t="str">
        <f t="shared" si="1"/>
        <v/>
      </c>
      <c r="AQ27">
        <f t="shared" si="1"/>
        <v>0</v>
      </c>
      <c r="AR27">
        <f t="shared" si="1"/>
        <v>0</v>
      </c>
      <c r="AS27" t="str">
        <f t="shared" si="1"/>
        <v/>
      </c>
      <c r="AT27">
        <f t="shared" si="1"/>
        <v>0</v>
      </c>
    </row>
    <row r="28" spans="1:46" x14ac:dyDescent="0.2">
      <c r="A28" t="s">
        <v>52</v>
      </c>
      <c r="B28" t="str">
        <f t="shared" si="2"/>
        <v/>
      </c>
      <c r="C28">
        <f t="shared" si="2"/>
        <v>0</v>
      </c>
      <c r="D28" t="str">
        <f t="shared" si="2"/>
        <v/>
      </c>
      <c r="E28">
        <f t="shared" si="2"/>
        <v>0.24868137299592111</v>
      </c>
      <c r="F28">
        <f t="shared" si="2"/>
        <v>0</v>
      </c>
      <c r="G28" t="str">
        <f t="shared" si="2"/>
        <v/>
      </c>
      <c r="H28">
        <f t="shared" si="2"/>
        <v>0</v>
      </c>
      <c r="I28" t="str">
        <f t="shared" si="2"/>
        <v/>
      </c>
      <c r="J28">
        <f t="shared" si="2"/>
        <v>0.30152132789363012</v>
      </c>
      <c r="K28">
        <f t="shared" si="2"/>
        <v>4.7776291062396288</v>
      </c>
      <c r="L28">
        <f t="shared" si="2"/>
        <v>8.0812944047791895</v>
      </c>
      <c r="M28" t="str">
        <f t="shared" si="2"/>
        <v/>
      </c>
      <c r="N28" t="str">
        <f t="shared" si="3"/>
        <v/>
      </c>
      <c r="O28">
        <f t="shared" si="1"/>
        <v>0.34406139034880728</v>
      </c>
      <c r="P28" t="str">
        <f t="shared" si="1"/>
        <v/>
      </c>
      <c r="Q28">
        <f t="shared" si="1"/>
        <v>0.48497704090134353</v>
      </c>
      <c r="R28">
        <f t="shared" si="1"/>
        <v>0</v>
      </c>
      <c r="S28">
        <f t="shared" si="1"/>
        <v>3.204681861168031</v>
      </c>
      <c r="T28" t="str">
        <f t="shared" si="1"/>
        <v/>
      </c>
      <c r="U28">
        <f t="shared" si="1"/>
        <v>0.58110309906198621</v>
      </c>
      <c r="V28">
        <f t="shared" si="1"/>
        <v>1.151211615780946</v>
      </c>
      <c r="W28">
        <f t="shared" si="1"/>
        <v>1.928081540787596</v>
      </c>
      <c r="X28" t="str">
        <f t="shared" si="1"/>
        <v/>
      </c>
      <c r="Y28" t="str">
        <f t="shared" si="1"/>
        <v/>
      </c>
      <c r="Z28">
        <f t="shared" si="1"/>
        <v>2.3983509565419041</v>
      </c>
      <c r="AA28" t="str">
        <f t="shared" si="1"/>
        <v/>
      </c>
      <c r="AB28">
        <f t="shared" si="1"/>
        <v>1.471992109466129</v>
      </c>
      <c r="AC28">
        <f t="shared" si="1"/>
        <v>1.350290943312247</v>
      </c>
      <c r="AD28">
        <f t="shared" si="1"/>
        <v>2.2724407952783401</v>
      </c>
      <c r="AE28" t="str">
        <f t="shared" si="1"/>
        <v/>
      </c>
      <c r="AF28">
        <f t="shared" si="1"/>
        <v>4.5966210815762061</v>
      </c>
      <c r="AG28">
        <f t="shared" si="1"/>
        <v>6.9473458827003496</v>
      </c>
      <c r="AH28">
        <f t="shared" si="1"/>
        <v>7.8879507713074863</v>
      </c>
      <c r="AI28" t="str">
        <f t="shared" si="1"/>
        <v/>
      </c>
      <c r="AJ28" t="str">
        <f t="shared" si="1"/>
        <v/>
      </c>
      <c r="AK28">
        <f t="shared" si="1"/>
        <v>0</v>
      </c>
      <c r="AL28" t="str">
        <f t="shared" si="1"/>
        <v/>
      </c>
      <c r="AM28">
        <f t="shared" si="1"/>
        <v>0</v>
      </c>
      <c r="AN28">
        <f t="shared" si="1"/>
        <v>1.0115645298759841</v>
      </c>
      <c r="AO28">
        <f t="shared" si="1"/>
        <v>1.2147543271284871</v>
      </c>
      <c r="AP28" t="str">
        <f t="shared" si="1"/>
        <v/>
      </c>
      <c r="AQ28">
        <f t="shared" si="1"/>
        <v>6.9023345681707493</v>
      </c>
      <c r="AR28">
        <f t="shared" si="1"/>
        <v>7.7799710934370374</v>
      </c>
      <c r="AS28">
        <f t="shared" si="1"/>
        <v>8.4723165565523111</v>
      </c>
      <c r="AT28" t="str">
        <f t="shared" si="1"/>
        <v/>
      </c>
    </row>
    <row r="29" spans="1:46" x14ac:dyDescent="0.2">
      <c r="A29" t="s">
        <v>53</v>
      </c>
      <c r="B29">
        <f t="shared" si="2"/>
        <v>0.7473987342232512</v>
      </c>
      <c r="C29">
        <f t="shared" si="2"/>
        <v>0.32595443995078299</v>
      </c>
      <c r="D29">
        <f t="shared" si="2"/>
        <v>0.1452966310202107</v>
      </c>
      <c r="E29">
        <f t="shared" si="2"/>
        <v>0</v>
      </c>
      <c r="F29">
        <f t="shared" si="2"/>
        <v>0</v>
      </c>
      <c r="G29" t="str">
        <f t="shared" si="2"/>
        <v/>
      </c>
      <c r="H29">
        <f t="shared" si="2"/>
        <v>0</v>
      </c>
      <c r="I29" t="str">
        <f t="shared" si="2"/>
        <v/>
      </c>
      <c r="J29">
        <f t="shared" si="2"/>
        <v>4.6308628651681634</v>
      </c>
      <c r="K29" t="str">
        <f t="shared" si="2"/>
        <v/>
      </c>
      <c r="L29" t="str">
        <f t="shared" si="2"/>
        <v/>
      </c>
      <c r="M29" t="str">
        <f t="shared" si="2"/>
        <v/>
      </c>
      <c r="N29">
        <f t="shared" si="3"/>
        <v>1.9492982056211521</v>
      </c>
      <c r="O29">
        <f t="shared" si="1"/>
        <v>1.2361580072518841</v>
      </c>
      <c r="P29">
        <f t="shared" si="1"/>
        <v>1.173821021957471</v>
      </c>
      <c r="Q29">
        <f t="shared" si="1"/>
        <v>2.113959499021036</v>
      </c>
      <c r="R29">
        <f t="shared" si="1"/>
        <v>1.8058649555834749</v>
      </c>
      <c r="S29">
        <f t="shared" si="1"/>
        <v>1.431160835568686</v>
      </c>
      <c r="T29" t="str">
        <f t="shared" si="1"/>
        <v/>
      </c>
      <c r="U29">
        <f t="shared" si="1"/>
        <v>1.878327370069228</v>
      </c>
      <c r="V29" t="str">
        <f t="shared" si="1"/>
        <v/>
      </c>
      <c r="W29" t="str">
        <f t="shared" si="1"/>
        <v/>
      </c>
      <c r="X29" t="str">
        <f t="shared" si="1"/>
        <v/>
      </c>
      <c r="Y29">
        <f t="shared" si="1"/>
        <v>2.3372425449639311</v>
      </c>
      <c r="Z29">
        <f t="shared" si="1"/>
        <v>1.4865503985611159</v>
      </c>
      <c r="AA29">
        <f t="shared" si="1"/>
        <v>1.507793356187598</v>
      </c>
      <c r="AB29">
        <f t="shared" si="1"/>
        <v>0.65442910926224551</v>
      </c>
      <c r="AC29">
        <f t="shared" si="1"/>
        <v>0.421918788302167</v>
      </c>
      <c r="AD29">
        <f t="shared" si="1"/>
        <v>1.958498689085056</v>
      </c>
      <c r="AE29" t="str">
        <f t="shared" si="1"/>
        <v/>
      </c>
      <c r="AF29">
        <f t="shared" si="1"/>
        <v>3.753962181287855</v>
      </c>
      <c r="AG29" t="str">
        <f t="shared" si="1"/>
        <v/>
      </c>
      <c r="AH29" t="str">
        <f t="shared" si="1"/>
        <v/>
      </c>
      <c r="AI29" t="str">
        <f t="shared" si="1"/>
        <v/>
      </c>
      <c r="AJ29">
        <f t="shared" si="1"/>
        <v>0</v>
      </c>
      <c r="AK29">
        <f t="shared" si="1"/>
        <v>0</v>
      </c>
      <c r="AL29">
        <f t="shared" si="1"/>
        <v>0</v>
      </c>
      <c r="AM29">
        <f t="shared" si="1"/>
        <v>0</v>
      </c>
      <c r="AN29">
        <f t="shared" si="1"/>
        <v>0.2282481198953715</v>
      </c>
      <c r="AO29">
        <f t="shared" si="1"/>
        <v>3.1217222045612738</v>
      </c>
      <c r="AP29" t="str">
        <f t="shared" si="1"/>
        <v/>
      </c>
      <c r="AQ29">
        <f t="shared" si="1"/>
        <v>4.2047745059380439</v>
      </c>
      <c r="AR29" t="str">
        <f t="shared" si="1"/>
        <v/>
      </c>
      <c r="AS29" t="str">
        <f t="shared" si="1"/>
        <v/>
      </c>
      <c r="AT29" t="str">
        <f t="shared" si="1"/>
        <v/>
      </c>
    </row>
    <row r="35" spans="1:46" ht="16" x14ac:dyDescent="0.2">
      <c r="D35" t="s">
        <v>61</v>
      </c>
      <c r="L35" t="s">
        <v>62</v>
      </c>
      <c r="S35" t="s">
        <v>63</v>
      </c>
      <c r="Y35" s="5" t="s">
        <v>64</v>
      </c>
    </row>
    <row r="36" spans="1:46" ht="16" x14ac:dyDescent="0.2">
      <c r="A36" s="1" t="s">
        <v>0</v>
      </c>
      <c r="B36" s="2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3" t="s">
        <v>54</v>
      </c>
      <c r="J36" s="4" t="s">
        <v>55</v>
      </c>
      <c r="K36" s="4" t="s">
        <v>56</v>
      </c>
      <c r="L36" s="4" t="s">
        <v>57</v>
      </c>
      <c r="M36" s="4" t="s">
        <v>58</v>
      </c>
      <c r="N36" s="4" t="s">
        <v>59</v>
      </c>
      <c r="O36" s="4" t="s">
        <v>60</v>
      </c>
      <c r="P36" s="3" t="s">
        <v>54</v>
      </c>
      <c r="Q36" s="4" t="s">
        <v>55</v>
      </c>
      <c r="R36" s="4" t="s">
        <v>56</v>
      </c>
      <c r="S36" s="4" t="s">
        <v>57</v>
      </c>
      <c r="T36" s="4" t="s">
        <v>58</v>
      </c>
      <c r="U36" s="4" t="s">
        <v>59</v>
      </c>
      <c r="V36" s="4" t="s">
        <v>60</v>
      </c>
      <c r="W36" s="2" t="s">
        <v>54</v>
      </c>
      <c r="X36" s="2" t="s">
        <v>55</v>
      </c>
      <c r="Y36" s="2" t="s">
        <v>56</v>
      </c>
      <c r="Z36" s="2" t="s">
        <v>57</v>
      </c>
      <c r="AA36" s="2" t="s">
        <v>58</v>
      </c>
      <c r="AB36" s="2" t="s">
        <v>59</v>
      </c>
      <c r="AC36" s="2" t="s">
        <v>60</v>
      </c>
    </row>
    <row r="37" spans="1:46" x14ac:dyDescent="0.2">
      <c r="A37" t="s">
        <v>46</v>
      </c>
      <c r="B37" s="6">
        <v>0.79013640821068476</v>
      </c>
      <c r="C37" s="6">
        <v>0.8124653741872413</v>
      </c>
      <c r="D37" s="6">
        <v>3.4602032038859352</v>
      </c>
      <c r="E37" s="6" t="s">
        <v>65</v>
      </c>
      <c r="F37" s="6">
        <v>0.51430429657598919</v>
      </c>
      <c r="G37" s="6" t="s">
        <v>65</v>
      </c>
      <c r="H37">
        <v>1.0041311825390691</v>
      </c>
      <c r="I37">
        <v>0</v>
      </c>
      <c r="J37" s="6" t="s">
        <v>65</v>
      </c>
      <c r="K37">
        <v>4.3687092629727244</v>
      </c>
      <c r="L37" t="s">
        <v>65</v>
      </c>
      <c r="M37">
        <v>0</v>
      </c>
      <c r="N37" t="s">
        <v>65</v>
      </c>
      <c r="O37">
        <v>0</v>
      </c>
      <c r="P37">
        <v>0</v>
      </c>
      <c r="Q37">
        <v>0</v>
      </c>
      <c r="R37" t="s">
        <v>65</v>
      </c>
      <c r="S37">
        <v>0</v>
      </c>
      <c r="T37">
        <v>0</v>
      </c>
      <c r="U37" t="s">
        <v>65</v>
      </c>
      <c r="V37">
        <v>0</v>
      </c>
      <c r="W37" t="s">
        <v>65</v>
      </c>
      <c r="X37">
        <v>0</v>
      </c>
      <c r="Y37" t="s">
        <v>65</v>
      </c>
      <c r="Z37">
        <v>0</v>
      </c>
      <c r="AA37">
        <v>0</v>
      </c>
      <c r="AB37">
        <v>0</v>
      </c>
      <c r="AC37" t="s">
        <v>65</v>
      </c>
      <c r="AD37">
        <v>0</v>
      </c>
      <c r="AE37">
        <v>2.2336678743868839</v>
      </c>
      <c r="AF37" t="s">
        <v>65</v>
      </c>
      <c r="AG37">
        <v>0.6821060377686311</v>
      </c>
      <c r="AH37" t="s">
        <v>65</v>
      </c>
      <c r="AI37">
        <v>0</v>
      </c>
      <c r="AJ37" t="s">
        <v>65</v>
      </c>
      <c r="AK37">
        <v>0</v>
      </c>
      <c r="AL37">
        <v>0</v>
      </c>
      <c r="AM37">
        <v>0</v>
      </c>
      <c r="AN37" t="s">
        <v>65</v>
      </c>
      <c r="AO37">
        <v>0</v>
      </c>
      <c r="AP37">
        <v>9.6306128664652793</v>
      </c>
      <c r="AQ37" t="s">
        <v>65</v>
      </c>
      <c r="AR37">
        <v>14.27642602866619</v>
      </c>
    </row>
    <row r="38" spans="1:46" x14ac:dyDescent="0.2">
      <c r="A38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 t="s">
        <v>65</v>
      </c>
      <c r="H38" s="6">
        <v>2.5309634102570522</v>
      </c>
      <c r="I38" s="6">
        <v>4.6952722469082691</v>
      </c>
      <c r="J38" s="6" t="s">
        <v>65</v>
      </c>
      <c r="K38" s="6" t="s">
        <v>65</v>
      </c>
      <c r="L38" s="6" t="s">
        <v>65</v>
      </c>
      <c r="M38" s="6" t="s">
        <v>65</v>
      </c>
      <c r="N38">
        <v>2.205169571369539</v>
      </c>
      <c r="O38">
        <v>2.3515027931018282</v>
      </c>
      <c r="P38">
        <v>2.1972563251471779</v>
      </c>
      <c r="Q38">
        <v>2.174277833323206</v>
      </c>
      <c r="R38">
        <v>3.2784875158658129</v>
      </c>
      <c r="S38">
        <v>3.7731973560752561</v>
      </c>
      <c r="T38">
        <v>3.419610157630661</v>
      </c>
      <c r="U38" t="s">
        <v>65</v>
      </c>
      <c r="V38" t="s">
        <v>65</v>
      </c>
      <c r="W38" t="s">
        <v>65</v>
      </c>
      <c r="X38" t="s">
        <v>65</v>
      </c>
      <c r="Y38">
        <v>1.150599931943016</v>
      </c>
      <c r="Z38">
        <v>0.67804987790121662</v>
      </c>
      <c r="AA38">
        <v>1.1326440648189671</v>
      </c>
      <c r="AB38">
        <v>1.2445639954813481</v>
      </c>
      <c r="AC38">
        <v>3.0744151742030161</v>
      </c>
      <c r="AD38">
        <v>3.293156611972397</v>
      </c>
      <c r="AE38">
        <v>2.766822963083039</v>
      </c>
      <c r="AF38" t="s">
        <v>65</v>
      </c>
      <c r="AG38" t="s">
        <v>65</v>
      </c>
      <c r="AH38" t="s">
        <v>65</v>
      </c>
      <c r="AI38" t="s">
        <v>65</v>
      </c>
      <c r="AJ38">
        <v>0</v>
      </c>
      <c r="AK38">
        <v>0.43452111551040101</v>
      </c>
      <c r="AL38">
        <v>1.673608041794187</v>
      </c>
      <c r="AM38">
        <v>1.6538337940967911</v>
      </c>
      <c r="AN38">
        <v>7.1231142058693822</v>
      </c>
      <c r="AO38">
        <v>7.0729582995785414</v>
      </c>
      <c r="AP38">
        <v>8.7571924026360275</v>
      </c>
      <c r="AQ38" t="s">
        <v>65</v>
      </c>
      <c r="AR38" t="s">
        <v>65</v>
      </c>
      <c r="AS38" t="s">
        <v>65</v>
      </c>
      <c r="AT38" t="s">
        <v>65</v>
      </c>
    </row>
    <row r="39" spans="1:46" x14ac:dyDescent="0.2">
      <c r="A39" t="s">
        <v>48</v>
      </c>
      <c r="B39" s="6" t="s">
        <v>65</v>
      </c>
      <c r="C39" s="6">
        <v>0.44777836012463468</v>
      </c>
      <c r="D39" s="6">
        <v>0</v>
      </c>
      <c r="E39" s="6">
        <v>1.558097908833475</v>
      </c>
      <c r="F39" s="6">
        <v>2.450588699705664E-2</v>
      </c>
      <c r="G39" s="6" t="s">
        <v>65</v>
      </c>
      <c r="H39" s="6">
        <v>0.91160285123318918</v>
      </c>
      <c r="I39" s="6" t="s">
        <v>65</v>
      </c>
      <c r="J39" s="6">
        <v>5.266301221447376E-2</v>
      </c>
      <c r="K39" s="6">
        <v>1.1406803819966</v>
      </c>
      <c r="L39" s="6" t="s">
        <v>65</v>
      </c>
      <c r="M39" s="6" t="s">
        <v>65</v>
      </c>
      <c r="N39" t="s">
        <v>65</v>
      </c>
      <c r="O39">
        <v>0</v>
      </c>
      <c r="P39">
        <v>0.37587635250325491</v>
      </c>
      <c r="Q39">
        <v>0</v>
      </c>
      <c r="R39">
        <v>4.8050200081782332E-2</v>
      </c>
      <c r="S39">
        <v>0</v>
      </c>
      <c r="T39" t="s">
        <v>65</v>
      </c>
      <c r="U39">
        <v>0</v>
      </c>
      <c r="V39">
        <v>0</v>
      </c>
      <c r="W39" t="s">
        <v>65</v>
      </c>
      <c r="X39" t="s">
        <v>65</v>
      </c>
      <c r="Y39" t="s">
        <v>65</v>
      </c>
      <c r="Z39">
        <v>0</v>
      </c>
      <c r="AA39">
        <v>0</v>
      </c>
      <c r="AB39">
        <v>0</v>
      </c>
      <c r="AC39">
        <v>0</v>
      </c>
      <c r="AD39">
        <v>8.841874239118884E-2</v>
      </c>
      <c r="AE39" t="s">
        <v>65</v>
      </c>
      <c r="AF39">
        <v>0</v>
      </c>
      <c r="AG39">
        <v>0</v>
      </c>
      <c r="AH39" t="s">
        <v>65</v>
      </c>
      <c r="AI39" t="s">
        <v>65</v>
      </c>
      <c r="AJ39" t="s">
        <v>65</v>
      </c>
      <c r="AK39">
        <v>0</v>
      </c>
      <c r="AL39">
        <v>4.827640150316212E-2</v>
      </c>
      <c r="AM39">
        <v>0.23398395519648851</v>
      </c>
      <c r="AN39">
        <v>0.12868267876434261</v>
      </c>
      <c r="AO39">
        <v>0.54718577989449191</v>
      </c>
      <c r="AP39" t="s">
        <v>65</v>
      </c>
      <c r="AQ39">
        <v>0</v>
      </c>
      <c r="AR39">
        <v>0</v>
      </c>
      <c r="AS39" t="s">
        <v>65</v>
      </c>
      <c r="AT39" t="s">
        <v>65</v>
      </c>
    </row>
    <row r="40" spans="1:46" x14ac:dyDescent="0.2">
      <c r="A40" t="s">
        <v>49</v>
      </c>
      <c r="B40" s="6" t="s">
        <v>65</v>
      </c>
      <c r="C40" s="6">
        <v>0</v>
      </c>
      <c r="D40" s="6" t="s">
        <v>65</v>
      </c>
      <c r="E40" s="6">
        <v>0</v>
      </c>
      <c r="F40" s="6">
        <v>0</v>
      </c>
      <c r="G40" s="6" t="s">
        <v>65</v>
      </c>
      <c r="H40" s="6">
        <v>0</v>
      </c>
      <c r="I40" s="6" t="s">
        <v>65</v>
      </c>
      <c r="J40" s="6">
        <v>0</v>
      </c>
      <c r="K40" s="6">
        <v>0</v>
      </c>
      <c r="L40" s="6" t="s">
        <v>65</v>
      </c>
      <c r="M40" s="6">
        <v>0.56666125449004756</v>
      </c>
      <c r="N40" t="s">
        <v>65</v>
      </c>
      <c r="O40">
        <v>0.84021223731658368</v>
      </c>
      <c r="P40" t="s">
        <v>65</v>
      </c>
      <c r="Q40">
        <v>4.19536991417509E-2</v>
      </c>
      <c r="R40">
        <v>0</v>
      </c>
      <c r="S40">
        <v>0.95208538549852617</v>
      </c>
      <c r="T40" t="s">
        <v>65</v>
      </c>
      <c r="U40">
        <v>0.89153724460995443</v>
      </c>
      <c r="V40">
        <v>2.9843958586894579</v>
      </c>
      <c r="W40" t="s">
        <v>65</v>
      </c>
      <c r="X40">
        <v>6.7042906504010098</v>
      </c>
      <c r="Y40" t="s">
        <v>65</v>
      </c>
      <c r="Z40">
        <v>3.1408603229709628</v>
      </c>
      <c r="AA40" t="s">
        <v>65</v>
      </c>
      <c r="AB40">
        <v>2.374113224609681</v>
      </c>
      <c r="AC40">
        <v>0.87753430906450858</v>
      </c>
      <c r="AD40">
        <v>2.4326971990245099</v>
      </c>
      <c r="AE40" t="s">
        <v>65</v>
      </c>
      <c r="AF40">
        <v>2.3778124363996311</v>
      </c>
      <c r="AG40">
        <v>5.6777660531175362</v>
      </c>
      <c r="AH40" t="s">
        <v>65</v>
      </c>
      <c r="AI40">
        <v>7.6282628616976904</v>
      </c>
      <c r="AJ40" t="s">
        <v>65</v>
      </c>
      <c r="AK40">
        <v>1.431301347451954</v>
      </c>
      <c r="AL40" t="s">
        <v>65</v>
      </c>
      <c r="AM40">
        <v>1.268741740073978</v>
      </c>
      <c r="AN40">
        <v>2.9244913102776282</v>
      </c>
      <c r="AO40">
        <v>0.69241782703913413</v>
      </c>
      <c r="AP40" t="s">
        <v>65</v>
      </c>
      <c r="AQ40">
        <v>0.90798250860926566</v>
      </c>
      <c r="AR40">
        <v>0.22500071085248949</v>
      </c>
      <c r="AS40" t="s">
        <v>65</v>
      </c>
      <c r="AT40">
        <v>10.56477184304117</v>
      </c>
    </row>
    <row r="41" spans="1:46" x14ac:dyDescent="0.2">
      <c r="A41" t="s">
        <v>50</v>
      </c>
      <c r="B41" s="6" t="s">
        <v>65</v>
      </c>
      <c r="C41" s="6">
        <v>0</v>
      </c>
      <c r="D41" s="6" t="s">
        <v>65</v>
      </c>
      <c r="E41" s="6">
        <v>0</v>
      </c>
      <c r="F41" s="6">
        <v>1.0918246822493609</v>
      </c>
      <c r="G41" s="6" t="s">
        <v>65</v>
      </c>
      <c r="H41" s="6">
        <v>0</v>
      </c>
      <c r="I41" s="6" t="s">
        <v>65</v>
      </c>
      <c r="J41" s="6">
        <v>0</v>
      </c>
      <c r="K41" s="6">
        <v>6.7067343222535589E-2</v>
      </c>
      <c r="L41" s="6" t="s">
        <v>65</v>
      </c>
      <c r="M41" s="6">
        <v>0</v>
      </c>
      <c r="N41" t="s">
        <v>65</v>
      </c>
      <c r="O41">
        <v>0.62700314821094816</v>
      </c>
      <c r="P41" t="s">
        <v>65</v>
      </c>
      <c r="Q41">
        <v>0</v>
      </c>
      <c r="R41">
        <v>0</v>
      </c>
      <c r="S41">
        <v>0</v>
      </c>
      <c r="T41" t="s">
        <v>65</v>
      </c>
      <c r="U41">
        <v>0</v>
      </c>
      <c r="V41">
        <v>0.44000532702962619</v>
      </c>
      <c r="W41" t="s">
        <v>65</v>
      </c>
      <c r="X41">
        <v>0</v>
      </c>
      <c r="Y41" t="s">
        <v>65</v>
      </c>
      <c r="Z41">
        <v>4.5754652168123267</v>
      </c>
      <c r="AA41" t="s">
        <v>65</v>
      </c>
      <c r="AB41">
        <v>0.93155465679941751</v>
      </c>
      <c r="AC41">
        <v>1.187354668020252</v>
      </c>
      <c r="AD41">
        <v>0.89234540904306103</v>
      </c>
      <c r="AE41" t="s">
        <v>65</v>
      </c>
      <c r="AF41">
        <v>0</v>
      </c>
      <c r="AG41">
        <v>1.4219034839745659</v>
      </c>
      <c r="AH41" t="s">
        <v>65</v>
      </c>
      <c r="AI41">
        <v>0.35265270542399851</v>
      </c>
      <c r="AJ41" t="s">
        <v>65</v>
      </c>
      <c r="AK41">
        <v>0</v>
      </c>
      <c r="AL41" t="s">
        <v>65</v>
      </c>
      <c r="AM41">
        <v>0</v>
      </c>
      <c r="AN41">
        <v>0</v>
      </c>
      <c r="AO41">
        <v>0</v>
      </c>
      <c r="AP41" t="s">
        <v>65</v>
      </c>
      <c r="AQ41">
        <v>0</v>
      </c>
      <c r="AR41">
        <v>0</v>
      </c>
      <c r="AS41" t="s">
        <v>65</v>
      </c>
      <c r="AT41">
        <v>0</v>
      </c>
    </row>
    <row r="42" spans="1:46" x14ac:dyDescent="0.2">
      <c r="A42" t="s">
        <v>51</v>
      </c>
      <c r="B42" s="6" t="s">
        <v>65</v>
      </c>
      <c r="C42" s="6">
        <v>0.70224044401800945</v>
      </c>
      <c r="D42" s="6" t="s">
        <v>65</v>
      </c>
      <c r="E42" s="6">
        <v>0</v>
      </c>
      <c r="F42" s="6">
        <v>0.59370883032281352</v>
      </c>
      <c r="G42" s="6" t="s">
        <v>65</v>
      </c>
      <c r="H42" s="6">
        <v>6.1589552323036987E-3</v>
      </c>
      <c r="I42" s="6" t="s">
        <v>65</v>
      </c>
      <c r="J42" s="6">
        <v>0</v>
      </c>
      <c r="K42" s="6">
        <v>0</v>
      </c>
      <c r="L42" s="6" t="s">
        <v>65</v>
      </c>
      <c r="M42" s="6">
        <v>0.99549437607801383</v>
      </c>
      <c r="N42" t="s">
        <v>65</v>
      </c>
      <c r="O42">
        <v>0.95564286209699378</v>
      </c>
      <c r="P42" t="s">
        <v>65</v>
      </c>
      <c r="Q42">
        <v>0</v>
      </c>
      <c r="R42">
        <v>0.67759226274822248</v>
      </c>
      <c r="S42">
        <v>1.34077318403124</v>
      </c>
      <c r="T42" t="s">
        <v>65</v>
      </c>
      <c r="U42">
        <v>1.253364812119766</v>
      </c>
      <c r="V42">
        <v>1.992153797245046</v>
      </c>
      <c r="W42" t="s">
        <v>65</v>
      </c>
      <c r="X42">
        <v>2.742022643813133</v>
      </c>
      <c r="Y42" t="s">
        <v>65</v>
      </c>
      <c r="Z42">
        <v>0.85054586879101612</v>
      </c>
      <c r="AA42" t="s">
        <v>65</v>
      </c>
      <c r="AB42">
        <v>0.20334241171443729</v>
      </c>
      <c r="AC42">
        <v>0.1549304243807102</v>
      </c>
      <c r="AD42">
        <v>0.44135172522589677</v>
      </c>
      <c r="AE42" t="s">
        <v>65</v>
      </c>
      <c r="AF42">
        <v>1.220398185340891</v>
      </c>
      <c r="AG42">
        <v>0.90505753978899905</v>
      </c>
      <c r="AH42" t="s">
        <v>65</v>
      </c>
      <c r="AI42">
        <v>0.1185230869347178</v>
      </c>
      <c r="AJ42" t="s">
        <v>65</v>
      </c>
      <c r="AK42">
        <v>0</v>
      </c>
      <c r="AL42" t="s">
        <v>65</v>
      </c>
      <c r="AM42">
        <v>0</v>
      </c>
      <c r="AN42">
        <v>0</v>
      </c>
      <c r="AO42">
        <v>0</v>
      </c>
      <c r="AP42" t="s">
        <v>65</v>
      </c>
      <c r="AQ42">
        <v>0</v>
      </c>
      <c r="AR42">
        <v>0</v>
      </c>
      <c r="AS42" t="s">
        <v>65</v>
      </c>
      <c r="AT42">
        <v>0</v>
      </c>
    </row>
    <row r="43" spans="1:46" x14ac:dyDescent="0.2">
      <c r="A43" t="s">
        <v>52</v>
      </c>
      <c r="B43" t="s">
        <v>65</v>
      </c>
      <c r="C43">
        <v>0</v>
      </c>
      <c r="D43" t="s">
        <v>65</v>
      </c>
      <c r="E43">
        <v>0.24868137299592111</v>
      </c>
      <c r="F43">
        <v>0</v>
      </c>
      <c r="G43" t="s">
        <v>65</v>
      </c>
      <c r="H43">
        <v>0</v>
      </c>
      <c r="I43" t="s">
        <v>65</v>
      </c>
      <c r="J43">
        <v>0.30152132789363012</v>
      </c>
      <c r="K43">
        <v>4.7776291062396288</v>
      </c>
      <c r="L43">
        <v>8.0812944047791895</v>
      </c>
      <c r="M43" t="s">
        <v>65</v>
      </c>
      <c r="N43" t="s">
        <v>65</v>
      </c>
      <c r="O43">
        <v>0.34406139034880728</v>
      </c>
      <c r="P43" t="s">
        <v>65</v>
      </c>
      <c r="Q43">
        <v>0.48497704090134353</v>
      </c>
      <c r="R43">
        <v>0</v>
      </c>
      <c r="S43">
        <v>3.204681861168031</v>
      </c>
      <c r="T43" t="s">
        <v>65</v>
      </c>
      <c r="U43">
        <v>0.58110309906198621</v>
      </c>
      <c r="V43">
        <v>1.151211615780946</v>
      </c>
      <c r="W43">
        <v>1.928081540787596</v>
      </c>
      <c r="X43" t="s">
        <v>65</v>
      </c>
      <c r="Y43" t="s">
        <v>65</v>
      </c>
      <c r="Z43">
        <v>2.3983509565419041</v>
      </c>
      <c r="AA43" t="s">
        <v>65</v>
      </c>
      <c r="AB43">
        <v>1.471992109466129</v>
      </c>
      <c r="AC43">
        <v>1.350290943312247</v>
      </c>
      <c r="AD43">
        <v>2.2724407952783401</v>
      </c>
      <c r="AE43" t="s">
        <v>65</v>
      </c>
      <c r="AF43">
        <v>4.5966210815762061</v>
      </c>
      <c r="AG43">
        <v>6.9473458827003496</v>
      </c>
      <c r="AH43">
        <v>7.8879507713074863</v>
      </c>
      <c r="AI43" t="s">
        <v>65</v>
      </c>
      <c r="AJ43" t="s">
        <v>65</v>
      </c>
      <c r="AK43">
        <v>0</v>
      </c>
      <c r="AL43" t="s">
        <v>65</v>
      </c>
      <c r="AM43">
        <v>0</v>
      </c>
      <c r="AN43">
        <v>1.0115645298759841</v>
      </c>
      <c r="AO43">
        <v>1.2147543271284871</v>
      </c>
      <c r="AP43" t="s">
        <v>65</v>
      </c>
      <c r="AQ43">
        <v>6.9023345681707493</v>
      </c>
      <c r="AR43">
        <v>7.7799710934370374</v>
      </c>
      <c r="AS43">
        <v>8.4723165565523111</v>
      </c>
      <c r="AT43" t="s">
        <v>65</v>
      </c>
    </row>
    <row r="44" spans="1:46" x14ac:dyDescent="0.2">
      <c r="A44" t="s">
        <v>53</v>
      </c>
      <c r="B44">
        <v>0.7473987342232512</v>
      </c>
      <c r="C44">
        <v>0.32595443995078299</v>
      </c>
      <c r="D44">
        <v>0.1452966310202107</v>
      </c>
      <c r="E44">
        <v>0</v>
      </c>
      <c r="F44">
        <v>0</v>
      </c>
      <c r="G44" t="s">
        <v>65</v>
      </c>
      <c r="H44">
        <v>0</v>
      </c>
      <c r="I44" t="s">
        <v>65</v>
      </c>
      <c r="J44">
        <v>4.6308628651681634</v>
      </c>
      <c r="K44" t="s">
        <v>65</v>
      </c>
      <c r="L44" t="s">
        <v>65</v>
      </c>
      <c r="M44" t="s">
        <v>65</v>
      </c>
      <c r="N44">
        <v>1.9492982056211521</v>
      </c>
      <c r="O44">
        <v>1.2361580072518841</v>
      </c>
      <c r="P44">
        <v>1.173821021957471</v>
      </c>
      <c r="Q44">
        <v>2.113959499021036</v>
      </c>
      <c r="R44">
        <v>1.8058649555834749</v>
      </c>
      <c r="S44">
        <v>1.431160835568686</v>
      </c>
      <c r="T44" t="s">
        <v>65</v>
      </c>
      <c r="U44">
        <v>1.878327370069228</v>
      </c>
      <c r="V44" t="s">
        <v>65</v>
      </c>
      <c r="W44" t="s">
        <v>65</v>
      </c>
      <c r="X44" t="s">
        <v>65</v>
      </c>
      <c r="Y44">
        <v>2.3372425449639311</v>
      </c>
      <c r="Z44">
        <v>1.4865503985611159</v>
      </c>
      <c r="AA44">
        <v>1.507793356187598</v>
      </c>
      <c r="AB44">
        <v>0.65442910926224551</v>
      </c>
      <c r="AC44">
        <v>0.421918788302167</v>
      </c>
      <c r="AD44">
        <v>1.958498689085056</v>
      </c>
      <c r="AE44" t="s">
        <v>65</v>
      </c>
      <c r="AF44">
        <v>3.753962181287855</v>
      </c>
      <c r="AG44" t="s">
        <v>65</v>
      </c>
      <c r="AH44" t="s">
        <v>65</v>
      </c>
      <c r="AI44" t="s">
        <v>65</v>
      </c>
      <c r="AJ44">
        <v>0</v>
      </c>
      <c r="AK44">
        <v>0</v>
      </c>
      <c r="AL44">
        <v>0</v>
      </c>
      <c r="AM44">
        <v>0</v>
      </c>
      <c r="AN44">
        <v>0.2282481198953715</v>
      </c>
      <c r="AO44">
        <v>3.1217222045612738</v>
      </c>
      <c r="AP44" t="s">
        <v>65</v>
      </c>
      <c r="AQ44">
        <v>4.2047745059380439</v>
      </c>
      <c r="AR44" t="s">
        <v>65</v>
      </c>
      <c r="AS44" t="s">
        <v>65</v>
      </c>
      <c r="AT44" t="s">
        <v>65</v>
      </c>
    </row>
    <row r="47" spans="1:46" ht="16" x14ac:dyDescent="0.2">
      <c r="A47" s="6"/>
      <c r="B47" s="6"/>
      <c r="C47" s="6"/>
      <c r="D47" s="6" t="s">
        <v>61</v>
      </c>
      <c r="E47" s="6"/>
      <c r="F47" s="6"/>
      <c r="G47" s="6"/>
      <c r="H47" s="6"/>
      <c r="I47" s="6"/>
      <c r="J47" s="6"/>
      <c r="K47" s="6"/>
      <c r="L47" s="6" t="s">
        <v>62</v>
      </c>
      <c r="M47" s="6"/>
      <c r="N47" s="6"/>
      <c r="O47" s="6"/>
      <c r="P47" s="6"/>
      <c r="Q47" s="6"/>
      <c r="R47" s="6"/>
      <c r="S47" s="6" t="s">
        <v>63</v>
      </c>
      <c r="T47" s="6"/>
      <c r="U47" s="6"/>
      <c r="V47" s="6"/>
      <c r="W47" s="6"/>
      <c r="X47" s="6"/>
      <c r="Y47" s="7" t="s">
        <v>64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 ht="16" x14ac:dyDescent="0.2">
      <c r="A48" s="1" t="s">
        <v>0</v>
      </c>
      <c r="B48" s="2" t="s">
        <v>54</v>
      </c>
      <c r="C48" s="2" t="s">
        <v>55</v>
      </c>
      <c r="D48" s="2" t="s">
        <v>56</v>
      </c>
      <c r="E48" s="2" t="s">
        <v>57</v>
      </c>
      <c r="F48" s="2" t="s">
        <v>58</v>
      </c>
      <c r="G48" s="2" t="s">
        <v>59</v>
      </c>
      <c r="H48" s="2" t="s">
        <v>60</v>
      </c>
      <c r="I48" s="3" t="s">
        <v>54</v>
      </c>
      <c r="J48" s="4" t="s">
        <v>55</v>
      </c>
      <c r="K48" s="4" t="s">
        <v>56</v>
      </c>
      <c r="L48" s="4" t="s">
        <v>57</v>
      </c>
      <c r="M48" s="4" t="s">
        <v>58</v>
      </c>
      <c r="N48" s="4" t="s">
        <v>59</v>
      </c>
      <c r="O48" s="4" t="s">
        <v>60</v>
      </c>
      <c r="P48" s="3" t="s">
        <v>54</v>
      </c>
      <c r="Q48" s="4" t="s">
        <v>55</v>
      </c>
      <c r="R48" s="4" t="s">
        <v>56</v>
      </c>
      <c r="S48" s="4" t="s">
        <v>57</v>
      </c>
      <c r="T48" s="4" t="s">
        <v>58</v>
      </c>
      <c r="U48" s="4" t="s">
        <v>59</v>
      </c>
      <c r="V48" s="4" t="s">
        <v>60</v>
      </c>
      <c r="W48" s="2" t="s">
        <v>54</v>
      </c>
      <c r="X48" s="2" t="s">
        <v>55</v>
      </c>
      <c r="Y48" s="2" t="s">
        <v>56</v>
      </c>
      <c r="Z48" s="2" t="s">
        <v>57</v>
      </c>
      <c r="AA48" s="2" t="s">
        <v>58</v>
      </c>
      <c r="AB48" s="2" t="s">
        <v>59</v>
      </c>
      <c r="AC48" s="2" t="s">
        <v>60</v>
      </c>
    </row>
    <row r="49" spans="1:29" x14ac:dyDescent="0.2">
      <c r="A49" t="str" cm="1">
        <f t="array" ref="A49:AC49">_xlfn._xlws.FILTER(A37:AT37, A37:AT37&lt;&gt;"")</f>
        <v>1</v>
      </c>
      <c r="B49" s="9">
        <v>0.79013640821068476</v>
      </c>
      <c r="C49" s="9">
        <v>0.8124653741872413</v>
      </c>
      <c r="D49" s="9">
        <v>3.4602032038859352</v>
      </c>
      <c r="E49" s="9">
        <v>0.51430429657598919</v>
      </c>
      <c r="F49" s="9">
        <v>1.0041311825390691</v>
      </c>
      <c r="G49" s="9">
        <v>0</v>
      </c>
      <c r="H49" s="9">
        <v>4.3687092629727244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2.2336678743868839</v>
      </c>
      <c r="V49" s="9">
        <v>0.6821060377686311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9.6306128664652793</v>
      </c>
      <c r="AC49" s="9">
        <v>14.27642602866619</v>
      </c>
    </row>
    <row r="50" spans="1:29" x14ac:dyDescent="0.2">
      <c r="A50" t="str" cm="1">
        <f t="array" ref="A50:AC50">_xlfn._xlws.FILTER(A38:AT38, A38:AT38&lt;&gt;"")</f>
        <v>2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2.5309634102570522</v>
      </c>
      <c r="H50" s="9">
        <v>4.6952722469082691</v>
      </c>
      <c r="I50" s="9">
        <v>2.205169571369539</v>
      </c>
      <c r="J50" s="9">
        <v>2.3515027931018282</v>
      </c>
      <c r="K50" s="9">
        <v>2.1972563251471779</v>
      </c>
      <c r="L50" s="9">
        <v>2.174277833323206</v>
      </c>
      <c r="M50" s="9">
        <v>3.2784875158658129</v>
      </c>
      <c r="N50" s="9">
        <v>3.7731973560752561</v>
      </c>
      <c r="O50" s="9">
        <v>3.419610157630661</v>
      </c>
      <c r="P50" s="9">
        <v>1.150599931943016</v>
      </c>
      <c r="Q50" s="9">
        <v>0.67804987790121662</v>
      </c>
      <c r="R50" s="9">
        <v>1.1326440648189671</v>
      </c>
      <c r="S50" s="9">
        <v>1.2445639954813481</v>
      </c>
      <c r="T50" s="9">
        <v>3.0744151742030161</v>
      </c>
      <c r="U50" s="9">
        <v>3.293156611972397</v>
      </c>
      <c r="V50" s="9">
        <v>2.766822963083039</v>
      </c>
      <c r="W50" s="9">
        <v>0</v>
      </c>
      <c r="X50" s="9">
        <v>0.43452111551040101</v>
      </c>
      <c r="Y50" s="9">
        <v>1.673608041794187</v>
      </c>
      <c r="Z50" s="9">
        <v>1.6538337940967911</v>
      </c>
      <c r="AA50" s="9">
        <v>7.1231142058693822</v>
      </c>
      <c r="AB50" s="9">
        <v>7.0729582995785414</v>
      </c>
      <c r="AC50" s="9">
        <v>8.7571924026360275</v>
      </c>
    </row>
    <row r="51" spans="1:29" x14ac:dyDescent="0.2">
      <c r="A51" t="str" cm="1">
        <f t="array" ref="A51:AC51">_xlfn._xlws.FILTER(A39:AT39, A39:AT39&lt;&gt;"")</f>
        <v>3</v>
      </c>
      <c r="B51" s="9">
        <v>0.44777836012463468</v>
      </c>
      <c r="C51" s="9">
        <v>0</v>
      </c>
      <c r="D51" s="9">
        <v>1.558097908833475</v>
      </c>
      <c r="E51" s="9">
        <v>2.450588699705664E-2</v>
      </c>
      <c r="F51" s="9">
        <v>0.91160285123318918</v>
      </c>
      <c r="G51" s="9">
        <v>5.266301221447376E-2</v>
      </c>
      <c r="H51" s="9">
        <v>1.1406803819966</v>
      </c>
      <c r="I51" s="9">
        <v>0</v>
      </c>
      <c r="J51" s="9">
        <v>0.37587635250325491</v>
      </c>
      <c r="K51" s="9">
        <v>0</v>
      </c>
      <c r="L51" s="9">
        <v>4.8050200081782332E-2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8.841874239118884E-2</v>
      </c>
      <c r="U51" s="9">
        <v>0</v>
      </c>
      <c r="V51" s="9">
        <v>0</v>
      </c>
      <c r="W51" s="9">
        <v>0</v>
      </c>
      <c r="X51" s="9">
        <v>4.827640150316212E-2</v>
      </c>
      <c r="Y51" s="9">
        <v>0.23398395519648851</v>
      </c>
      <c r="Z51" s="9">
        <v>0.12868267876434261</v>
      </c>
      <c r="AA51" s="9">
        <v>0.54718577989449191</v>
      </c>
      <c r="AB51" s="9">
        <v>0</v>
      </c>
      <c r="AC51" s="9">
        <v>0</v>
      </c>
    </row>
    <row r="52" spans="1:29" x14ac:dyDescent="0.2">
      <c r="A52" t="str" cm="1">
        <f t="array" ref="A52:AC52">_xlfn._xlws.FILTER(A40:AT40, A40:AT40&lt;&gt;"")</f>
        <v>5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0.56666125449004756</v>
      </c>
      <c r="I52" s="9">
        <v>0.84021223731658368</v>
      </c>
      <c r="J52" s="9">
        <v>4.19536991417509E-2</v>
      </c>
      <c r="K52" s="9">
        <v>0</v>
      </c>
      <c r="L52" s="9">
        <v>0.95208538549852617</v>
      </c>
      <c r="M52" s="9">
        <v>0.89153724460995443</v>
      </c>
      <c r="N52" s="9">
        <v>2.9843958586894579</v>
      </c>
      <c r="O52" s="9">
        <v>6.7042906504010098</v>
      </c>
      <c r="P52" s="9">
        <v>3.1408603229709628</v>
      </c>
      <c r="Q52" s="9">
        <v>2.374113224609681</v>
      </c>
      <c r="R52" s="9">
        <v>0.87753430906450858</v>
      </c>
      <c r="S52" s="9">
        <v>2.4326971990245099</v>
      </c>
      <c r="T52" s="9">
        <v>2.3778124363996311</v>
      </c>
      <c r="U52" s="9">
        <v>5.6777660531175362</v>
      </c>
      <c r="V52" s="9">
        <v>7.6282628616976904</v>
      </c>
      <c r="W52" s="9">
        <v>1.431301347451954</v>
      </c>
      <c r="X52" s="9">
        <v>1.268741740073978</v>
      </c>
      <c r="Y52" s="9">
        <v>2.9244913102776282</v>
      </c>
      <c r="Z52" s="9">
        <v>0.69241782703913413</v>
      </c>
      <c r="AA52" s="9">
        <v>0.90798250860926566</v>
      </c>
      <c r="AB52" s="9">
        <v>0.22500071085248949</v>
      </c>
      <c r="AC52" s="9">
        <v>10.56477184304117</v>
      </c>
    </row>
    <row r="53" spans="1:29" x14ac:dyDescent="0.2">
      <c r="A53" t="str" cm="1">
        <f t="array" ref="A53:AC53">_xlfn._xlws.FILTER(A41:AT41, A41:AT41&lt;&gt;"")</f>
        <v>6</v>
      </c>
      <c r="B53" s="9">
        <v>0</v>
      </c>
      <c r="C53" s="9">
        <v>0</v>
      </c>
      <c r="D53" s="9">
        <v>1.0918246822493609</v>
      </c>
      <c r="E53" s="9">
        <v>0</v>
      </c>
      <c r="F53" s="9">
        <v>0</v>
      </c>
      <c r="G53" s="9">
        <v>6.7067343222535589E-2</v>
      </c>
      <c r="H53" s="9">
        <v>0</v>
      </c>
      <c r="I53" s="9">
        <v>0.62700314821094816</v>
      </c>
      <c r="J53" s="9">
        <v>0</v>
      </c>
      <c r="K53" s="9">
        <v>0</v>
      </c>
      <c r="L53" s="9">
        <v>0</v>
      </c>
      <c r="M53" s="9">
        <v>0</v>
      </c>
      <c r="N53" s="9">
        <v>0.44000532702962619</v>
      </c>
      <c r="O53" s="9">
        <v>0</v>
      </c>
      <c r="P53" s="9">
        <v>4.5754652168123267</v>
      </c>
      <c r="Q53" s="9">
        <v>0.93155465679941751</v>
      </c>
      <c r="R53" s="9">
        <v>1.187354668020252</v>
      </c>
      <c r="S53" s="9">
        <v>0.89234540904306103</v>
      </c>
      <c r="T53" s="9">
        <v>0</v>
      </c>
      <c r="U53" s="9">
        <v>1.4219034839745659</v>
      </c>
      <c r="V53" s="9">
        <v>0.35265270542399851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</row>
    <row r="54" spans="1:29" x14ac:dyDescent="0.2">
      <c r="A54" t="str" cm="1">
        <f t="array" ref="A54:AC54">_xlfn._xlws.FILTER(A42:AT42, A42:AT42&lt;&gt;"")</f>
        <v>7</v>
      </c>
      <c r="B54" s="9">
        <v>0.70224044401800945</v>
      </c>
      <c r="C54" s="9">
        <v>0</v>
      </c>
      <c r="D54" s="9">
        <v>0.59370883032281352</v>
      </c>
      <c r="E54" s="9">
        <v>6.1589552323036987E-3</v>
      </c>
      <c r="F54" s="9">
        <v>0</v>
      </c>
      <c r="G54" s="9">
        <v>0</v>
      </c>
      <c r="H54" s="9">
        <v>0.99549437607801383</v>
      </c>
      <c r="I54" s="9">
        <v>0.95564286209699378</v>
      </c>
      <c r="J54" s="9">
        <v>0</v>
      </c>
      <c r="K54" s="9">
        <v>0.67759226274822248</v>
      </c>
      <c r="L54" s="9">
        <v>1.34077318403124</v>
      </c>
      <c r="M54" s="9">
        <v>1.253364812119766</v>
      </c>
      <c r="N54" s="9">
        <v>1.992153797245046</v>
      </c>
      <c r="O54" s="9">
        <v>2.742022643813133</v>
      </c>
      <c r="P54" s="9">
        <v>0.85054586879101612</v>
      </c>
      <c r="Q54" s="9">
        <v>0.20334241171443729</v>
      </c>
      <c r="R54" s="9">
        <v>0.1549304243807102</v>
      </c>
      <c r="S54" s="9">
        <v>0.44135172522589677</v>
      </c>
      <c r="T54" s="9">
        <v>1.220398185340891</v>
      </c>
      <c r="U54" s="9">
        <v>0.90505753978899905</v>
      </c>
      <c r="V54" s="9">
        <v>0.1185230869347178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</row>
    <row r="55" spans="1:29" x14ac:dyDescent="0.2">
      <c r="A55" t="str" cm="1">
        <f t="array" ref="A55:AC55">_xlfn._xlws.FILTER(A43:AT43, A43:AT43&lt;&gt;"")</f>
        <v>APAP</v>
      </c>
      <c r="B55" s="9">
        <v>0</v>
      </c>
      <c r="C55" s="9">
        <v>0.24868137299592111</v>
      </c>
      <c r="D55" s="9">
        <v>0</v>
      </c>
      <c r="E55" s="9">
        <v>0</v>
      </c>
      <c r="F55" s="9">
        <v>0.30152132789363012</v>
      </c>
      <c r="G55" s="9">
        <v>4.7776291062396288</v>
      </c>
      <c r="H55" s="9">
        <v>8.0812944047791895</v>
      </c>
      <c r="I55" s="9">
        <v>0.34406139034880728</v>
      </c>
      <c r="J55" s="9">
        <v>0.48497704090134353</v>
      </c>
      <c r="K55" s="9">
        <v>0</v>
      </c>
      <c r="L55" s="9">
        <v>3.204681861168031</v>
      </c>
      <c r="M55" s="9">
        <v>0.58110309906198621</v>
      </c>
      <c r="N55" s="9">
        <v>1.151211615780946</v>
      </c>
      <c r="O55" s="9">
        <v>1.928081540787596</v>
      </c>
      <c r="P55" s="9">
        <v>2.3983509565419041</v>
      </c>
      <c r="Q55" s="9">
        <v>1.471992109466129</v>
      </c>
      <c r="R55" s="9">
        <v>1.350290943312247</v>
      </c>
      <c r="S55" s="9">
        <v>2.2724407952783401</v>
      </c>
      <c r="T55" s="9">
        <v>4.5966210815762061</v>
      </c>
      <c r="U55" s="9">
        <v>6.9473458827003496</v>
      </c>
      <c r="V55" s="9">
        <v>7.8879507713074863</v>
      </c>
      <c r="W55" s="9">
        <v>0</v>
      </c>
      <c r="X55" s="9">
        <v>0</v>
      </c>
      <c r="Y55" s="9">
        <v>1.0115645298759841</v>
      </c>
      <c r="Z55" s="9">
        <v>1.2147543271284871</v>
      </c>
      <c r="AA55" s="9">
        <v>6.9023345681707493</v>
      </c>
      <c r="AB55" s="9">
        <v>7.7799710934370374</v>
      </c>
      <c r="AC55" s="9">
        <v>8.4723165565523111</v>
      </c>
    </row>
    <row r="56" spans="1:29" x14ac:dyDescent="0.2">
      <c r="A56" t="str" cm="1">
        <f t="array" ref="A56:AC56">_xlfn._xlws.FILTER(A44:AT44, A44:AT44&lt;&gt;"")</f>
        <v>TGZ</v>
      </c>
      <c r="B56" s="9">
        <v>0.7473987342232512</v>
      </c>
      <c r="C56" s="9">
        <v>0.32595443995078299</v>
      </c>
      <c r="D56" s="9">
        <v>0.1452966310202107</v>
      </c>
      <c r="E56" s="9">
        <v>0</v>
      </c>
      <c r="F56" s="9">
        <v>0</v>
      </c>
      <c r="G56" s="9">
        <v>0</v>
      </c>
      <c r="H56" s="9">
        <v>4.6308628651681634</v>
      </c>
      <c r="I56" s="9">
        <v>1.9492982056211521</v>
      </c>
      <c r="J56" s="9">
        <v>1.2361580072518841</v>
      </c>
      <c r="K56" s="9">
        <v>1.173821021957471</v>
      </c>
      <c r="L56" s="9">
        <v>2.113959499021036</v>
      </c>
      <c r="M56" s="9">
        <v>1.8058649555834749</v>
      </c>
      <c r="N56" s="9">
        <v>1.431160835568686</v>
      </c>
      <c r="O56" s="9">
        <v>1.878327370069228</v>
      </c>
      <c r="P56" s="9">
        <v>2.3372425449639311</v>
      </c>
      <c r="Q56" s="9">
        <v>1.4865503985611159</v>
      </c>
      <c r="R56" s="9">
        <v>1.507793356187598</v>
      </c>
      <c r="S56" s="9">
        <v>0.65442910926224551</v>
      </c>
      <c r="T56" s="9">
        <v>0.421918788302167</v>
      </c>
      <c r="U56" s="9">
        <v>1.958498689085056</v>
      </c>
      <c r="V56" s="9">
        <v>3.753962181287855</v>
      </c>
      <c r="W56" s="9">
        <v>0</v>
      </c>
      <c r="X56" s="9">
        <v>0</v>
      </c>
      <c r="Y56" s="9">
        <v>0</v>
      </c>
      <c r="Z56" s="9">
        <v>0</v>
      </c>
      <c r="AA56" s="9">
        <v>0.2282481198953715</v>
      </c>
      <c r="AB56" s="9">
        <v>3.1217222045612738</v>
      </c>
      <c r="AC56" s="9">
        <v>4.2047745059380439</v>
      </c>
    </row>
    <row r="62" spans="1:29" x14ac:dyDescent="0.2">
      <c r="B62" s="8"/>
      <c r="C62" s="8"/>
    </row>
    <row r="63" spans="1:29" x14ac:dyDescent="0.2">
      <c r="B63" s="8"/>
      <c r="C63" s="8"/>
    </row>
    <row r="64" spans="1:29" x14ac:dyDescent="0.2">
      <c r="B64" s="8"/>
      <c r="C64" s="8"/>
    </row>
    <row r="65" spans="2:3" x14ac:dyDescent="0.2">
      <c r="B65" s="8"/>
      <c r="C65" s="8"/>
    </row>
    <row r="66" spans="2:3" x14ac:dyDescent="0.2">
      <c r="B66" s="8"/>
      <c r="C66" s="8"/>
    </row>
    <row r="67" spans="2:3" x14ac:dyDescent="0.2">
      <c r="B67" s="8"/>
      <c r="C67" s="8"/>
    </row>
    <row r="68" spans="2:3" x14ac:dyDescent="0.2">
      <c r="B68" s="8"/>
      <c r="C68" s="8"/>
    </row>
    <row r="69" spans="2:3" x14ac:dyDescent="0.2">
      <c r="B69" s="8"/>
      <c r="C6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EAA7-735A-D14D-B1C4-585A5751BCFB}">
  <dimension ref="A1:F10"/>
  <sheetViews>
    <sheetView tabSelected="1" workbookViewId="0">
      <selection activeCell="H10" sqref="H10"/>
    </sheetView>
  </sheetViews>
  <sheetFormatPr baseColWidth="10" defaultRowHeight="15" x14ac:dyDescent="0.2"/>
  <cols>
    <col min="1" max="1" width="13.1640625" bestFit="1" customWidth="1"/>
    <col min="2" max="3" width="13.83203125" bestFit="1" customWidth="1"/>
    <col min="4" max="5" width="12.1640625" bestFit="1" customWidth="1"/>
    <col min="6" max="6" width="18.33203125" bestFit="1" customWidth="1"/>
  </cols>
  <sheetData>
    <row r="1" spans="1:6" x14ac:dyDescent="0.2">
      <c r="A1" t="s">
        <v>0</v>
      </c>
      <c r="B1" t="s">
        <v>78</v>
      </c>
      <c r="C1" t="s">
        <v>77</v>
      </c>
      <c r="D1" t="s">
        <v>66</v>
      </c>
      <c r="E1" t="s">
        <v>67</v>
      </c>
      <c r="F1" t="s">
        <v>79</v>
      </c>
    </row>
    <row r="2" spans="1:6" x14ac:dyDescent="0.2">
      <c r="A2" t="s">
        <v>68</v>
      </c>
      <c r="B2">
        <v>7.6941165480487097</v>
      </c>
      <c r="C2">
        <v>26.924992540182664</v>
      </c>
      <c r="D2">
        <v>13.41</v>
      </c>
      <c r="E2">
        <v>25.380941075164568</v>
      </c>
      <c r="F2">
        <v>65.71593361534724</v>
      </c>
    </row>
    <row r="3" spans="1:6" x14ac:dyDescent="0.2">
      <c r="A3" t="s">
        <v>69</v>
      </c>
      <c r="B3">
        <v>11.588589895072932</v>
      </c>
      <c r="C3">
        <v>12.120395067649969</v>
      </c>
      <c r="D3">
        <v>5.8599999999999994</v>
      </c>
      <c r="E3">
        <v>7.5547448303946894</v>
      </c>
      <c r="F3">
        <v>25.535139898044658</v>
      </c>
    </row>
    <row r="4" spans="1:6" x14ac:dyDescent="0.2">
      <c r="A4" t="s">
        <v>70</v>
      </c>
      <c r="B4">
        <v>0</v>
      </c>
      <c r="C4">
        <v>2.9157739121555148</v>
      </c>
      <c r="D4">
        <v>10.949949728371646</v>
      </c>
      <c r="E4">
        <v>23.907038895131471</v>
      </c>
      <c r="F4">
        <v>37.772762535658629</v>
      </c>
    </row>
    <row r="5" spans="1:6" x14ac:dyDescent="0.2">
      <c r="A5" t="s">
        <v>71</v>
      </c>
      <c r="B5">
        <v>19.399999999999999</v>
      </c>
      <c r="C5">
        <v>13.340252619402998</v>
      </c>
      <c r="D5">
        <v>7.2262356571653212</v>
      </c>
      <c r="E5">
        <v>26.715227859485331</v>
      </c>
      <c r="F5">
        <v>47.281716136053646</v>
      </c>
    </row>
    <row r="6" spans="1:6" x14ac:dyDescent="0.2">
      <c r="A6" t="s">
        <v>72</v>
      </c>
      <c r="B6">
        <v>0.43</v>
      </c>
      <c r="C6">
        <v>8.841874239118884E-2</v>
      </c>
      <c r="D6">
        <v>4.1353284013994296</v>
      </c>
      <c r="E6">
        <v>0.95812881535848515</v>
      </c>
      <c r="F6">
        <v>5.181875959149103</v>
      </c>
    </row>
    <row r="7" spans="1:6" x14ac:dyDescent="0.2">
      <c r="A7" t="s">
        <v>73</v>
      </c>
      <c r="B7">
        <v>5.5</v>
      </c>
      <c r="C7">
        <v>12.149999999999999</v>
      </c>
      <c r="D7">
        <v>1.9700000000000002</v>
      </c>
      <c r="E7">
        <v>21.369999999999997</v>
      </c>
      <c r="F7">
        <v>35.489999999999995</v>
      </c>
    </row>
    <row r="8" spans="1:6" x14ac:dyDescent="0.2">
      <c r="A8" t="s">
        <v>74</v>
      </c>
      <c r="B8">
        <v>12.414475075657283</v>
      </c>
      <c r="C8">
        <v>24.509046406884522</v>
      </c>
      <c r="D8">
        <v>0.56666125449004756</v>
      </c>
      <c r="E8">
        <v>18.014707287345619</v>
      </c>
      <c r="F8">
        <v>43.090414948720188</v>
      </c>
    </row>
    <row r="9" spans="1:6" x14ac:dyDescent="0.2">
      <c r="A9" t="s">
        <v>75</v>
      </c>
      <c r="B9">
        <v>1.0670084752405744</v>
      </c>
      <c r="C9">
        <v>9.3612761400736222</v>
      </c>
      <c r="D9">
        <v>1.1588920254718964</v>
      </c>
      <c r="E9">
        <v>0</v>
      </c>
      <c r="F9">
        <v>10.520168165545519</v>
      </c>
    </row>
    <row r="10" spans="1:6" x14ac:dyDescent="0.2">
      <c r="A10" t="s">
        <v>76</v>
      </c>
      <c r="B10">
        <v>8.961549562054401</v>
      </c>
      <c r="C10">
        <v>3.8941492421766681</v>
      </c>
      <c r="D10">
        <v>2.2976026056511407</v>
      </c>
      <c r="E10">
        <v>0</v>
      </c>
      <c r="F10">
        <v>6.1917518478278089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Haochen Li</cp:lastModifiedBy>
  <dcterms:created xsi:type="dcterms:W3CDTF">2025-12-22T15:26:39Z</dcterms:created>
  <dcterms:modified xsi:type="dcterms:W3CDTF">2025-12-22T20:00:49Z</dcterms:modified>
</cp:coreProperties>
</file>